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falconcoffee-my.sharepoint.com/personal/alberto_falconcoffees_com/Documents/Documentos/Falcon Coffee/2026/Net Suite/"/>
    </mc:Choice>
  </mc:AlternateContent>
  <xr:revisionPtr revIDLastSave="2" documentId="11_53A2B8F81C9B3E1FCCE2EC9CEDD095DB29C25098" xr6:coauthVersionLast="47" xr6:coauthVersionMax="47" xr10:uidLastSave="{3BB13859-A7B2-44ED-AF44-5DA72358482E}"/>
  <bookViews>
    <workbookView xWindow="28680" yWindow="-120" windowWidth="29040" windowHeight="15720" activeTab="5" xr2:uid="{00000000-000D-0000-FFFF-FFFF00000000}"/>
  </bookViews>
  <sheets>
    <sheet name="Factura de Proveedor " sheetId="1" r:id="rId1"/>
    <sheet name="Pago Proveedor" sheetId="2" r:id="rId2"/>
    <sheet name="Asiento" sheetId="3" r:id="rId3"/>
    <sheet name="Factura de Cliente" sheetId="4" r:id="rId4"/>
    <sheet name="Nota de credito Cliente" sheetId="5" r:id="rId5"/>
    <sheet name="Pago de factura de cliente" sheetId="6" r:id="rId6"/>
    <sheet name="DATA MAESTRA" sheetId="7" state="hidden"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5" l="1"/>
  <c r="AC2" i="5" s="1"/>
  <c r="S2" i="4"/>
  <c r="AB3" i="1"/>
  <c r="A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tc={304bff4c-a9c6-42c5-b53c-7cc8cb8e3f6f}</author>
    <author>tc={e4014236-63fd-4990-b790-d31a607286e2}</author>
    <author>tc={99518a8a-93c0-40d8-a5f4-3113bac936b0}</author>
    <author>tc={b78ef74b-3388-4d52-903c-b2481fccac9a}</author>
    <author>tc={c743b436-8ee2-4930-aec5-0c9ec2ab5299}</author>
  </authors>
  <commentList>
    <comment ref="A1" authorId="0" shapeId="0" xr:uid="{304BFF4C-A9C6-42C5-B53C-7CC8CB8E3F6F}">
      <text>
        <t>[Comentario encadenado]
Su versión de Excel le permite leer este comentario encadenado; sin embargo, las ediciones que se apliquen se quitarán si el archivo se abre en una versión más reciente de Excel. Más información: https://go.microsoft.com/fwlink/?linkid=870924
Comentario:
    i recommen mapping by INTERNAL ID</t>
      </text>
    </comment>
    <comment ref="B1" authorId="1" shapeId="0" xr:uid="{E4014236-63FD-4990-B790-D31A607286E2}">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InternalID</t>
      </text>
    </comment>
    <comment ref="C1" authorId="2" shapeId="0" xr:uid="{99518A8A-93C0-40D8-A5F4-3113BAC936B0}">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InternalID</t>
      </text>
    </comment>
    <comment ref="G1" authorId="3" shapeId="0" xr:uid="{B78EF74B-3388-4D52-903C-B2481FCCAC9A}">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InternalID</t>
      </text>
    </comment>
    <comment ref="M1" authorId="4" shapeId="0" xr:uid="{C743B436-8EE2-4930-AEC5-0C9EC2AB5299}">
      <text>
        <t>[Comentario encadenado]
Su versión de Excel le permite leer este comentario encadenado; sin embargo, las ediciones que se apliquen se quitarán si el archivo se abre en una versión más reciente de Excel. Más información: https://go.microsoft.com/fwlink/?linkid=870924
Comentario:
    Opcional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tc={47054c7b-c7f1-4402-8ec3-0a08af631cac}</author>
  </authors>
  <commentList>
    <comment ref="P1" authorId="0" shapeId="0" xr:uid="{47054C7B-C7F1-4402-8EC3-0A08AF631CAC}">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Internalid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tc={4b346172-5752-494e-9013-499e452ee2ac}</author>
    <author>tc={e7987fd9-a927-4eba-ba3e-087533dc414a}</author>
  </authors>
  <commentList>
    <comment ref="H1" authorId="0" shapeId="0" xr:uid="{4B346172-5752-494E-9013-499E452EE2AC}">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InternalID</t>
      </text>
    </comment>
    <comment ref="L2" authorId="1" shapeId="0" xr:uid="{E7987FD9-A927-4EBA-BA3E-087533DC414A}">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InternalID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tc={bd239c66-69bf-41a1-9e22-d9f62fe405ff}</author>
  </authors>
  <commentList>
    <comment ref="AB1" authorId="0" shapeId="0" xr:uid="{BD239C66-69BF-41A1-9E22-D9F62FE405FF}">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InternalID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tc={d6b75dbf-262a-4e99-bafa-edbf0f74abd9}</author>
    <author>tc={305e3657-e400-42d5-9a2f-6ee61e974932}</author>
    <author>tc={e654d491-e2d6-4326-8265-a44393334b3f}</author>
  </authors>
  <commentList>
    <comment ref="G1" authorId="0" shapeId="0" xr:uid="{D6B75DBF-262A-4E99-BAFA-EDBF0F74ABD9}">
      <text>
        <t>[Comentario encadenado]
Su versión de Excel le permite leer este comentario encadenado; sin embargo, las ediciones que se apliquen se quitarán si el archivo se abre en una versión más reciente de Excel. Más información: https://go.microsoft.com/fwlink/?linkid=870924
Comentario:
    Only when you use a transactión with a currency differently of SOL</t>
      </text>
    </comment>
    <comment ref="I1" authorId="1" shapeId="0" xr:uid="{305E3657-E400-42D5-9A2F-6EE61E974932}">
      <text>
        <t>[Comentario encadenado]
Su versión de Excel le permite leer este comentario encadenado; sin embargo, las ediciones que se apliquen se quitarán si el archivo se abre en una versión más reciente de Excel. Más información: https://go.microsoft.com/fwlink/?linkid=870924
Comentario:
    Optional</t>
      </text>
    </comment>
    <comment ref="J1" authorId="2" shapeId="0" xr:uid="{E654D491-E2D6-4326-8265-A44393334B3F}">
      <text>
        <t>[Comentario encadenado]
Su versión de Excel le permite leer este comentario encadenado; sin embargo, las ediciones que se apliquen se quitarán si el archivo se abre en una versión más reciente de Excel. Más información: https://go.microsoft.com/fwlink/?linkid=870924
Comentario:
    I recommend mapping the invoice by invoice</t>
      </text>
    </comment>
  </commentList>
</comments>
</file>

<file path=xl/sharedStrings.xml><?xml version="1.0" encoding="utf-8"?>
<sst xmlns="http://schemas.openxmlformats.org/spreadsheetml/2006/main" count="482" uniqueCount="260">
  <si>
    <t>EXTERNAL ID</t>
  </si>
  <si>
    <t>Proveedor</t>
  </si>
  <si>
    <t>Cuenta</t>
  </si>
  <si>
    <t>Moneda</t>
  </si>
  <si>
    <t>Fecha</t>
  </si>
  <si>
    <t>Ubicación</t>
  </si>
  <si>
    <t>Subsidiaria</t>
  </si>
  <si>
    <t>Latam - Tipo de Transacción</t>
  </si>
  <si>
    <t>Latam - Tipo de Documento Fiscal</t>
  </si>
  <si>
    <t>Latam - Serie CxP</t>
  </si>
  <si>
    <t>Latam - Número Preimpreso</t>
  </si>
  <si>
    <t>Latam - Método de Pago</t>
  </si>
  <si>
    <t>Latam - PE Clasific.Bienes y Servicios</t>
  </si>
  <si>
    <t>Latam - Concepto Detracción</t>
  </si>
  <si>
    <t>Latam - PE Tipo Operacion Sunat</t>
  </si>
  <si>
    <t>Latam - Dependencia Aduanera</t>
  </si>
  <si>
    <t>Latam - PE Conv.Evitar Doble Imposición</t>
  </si>
  <si>
    <t>Latam - Exoneración aplicada</t>
  </si>
  <si>
    <t>Latam - Tipo de Renta</t>
  </si>
  <si>
    <t>Latam - Modalidad Serv. Prestado</t>
  </si>
  <si>
    <t>Latam - Fecha del documento Ref</t>
  </si>
  <si>
    <t>Latam - Tipo Documento Ref</t>
  </si>
  <si>
    <t>Latam - Documento Numero Ref</t>
  </si>
  <si>
    <t>Artículos: Artículo</t>
  </si>
  <si>
    <t>Artículos: Cantidad</t>
  </si>
  <si>
    <t>Artículos: Descripción</t>
  </si>
  <si>
    <t>Artículos: Tarifa</t>
  </si>
  <si>
    <t>Artículos: Importe</t>
  </si>
  <si>
    <t>Artículos: Tax Code</t>
  </si>
  <si>
    <t>Artículos: Departamento</t>
  </si>
  <si>
    <t>Artículos: Clase</t>
  </si>
  <si>
    <t>Artículos: Ubicación</t>
  </si>
  <si>
    <t>Artículos: Latam Col - PE Imp. Renta</t>
  </si>
  <si>
    <t>Gastos: Cuenta</t>
  </si>
  <si>
    <t>Gastos: Importe</t>
  </si>
  <si>
    <t>Gastos: Código de impuesto</t>
  </si>
  <si>
    <t>Gastos: Nota</t>
  </si>
  <si>
    <t>Gastos: Departamento</t>
  </si>
  <si>
    <t>Gastos: Clase</t>
  </si>
  <si>
    <t>Gastos: Ubicación</t>
  </si>
  <si>
    <t>Gastos: Latam Col - PE Imp. Renta</t>
  </si>
  <si>
    <t>VENDB_00005</t>
  </si>
  <si>
    <t>SOL</t>
  </si>
  <si>
    <t>FCP SOLES</t>
  </si>
  <si>
    <t>Factura de Proveedor</t>
  </si>
  <si>
    <t>Factura</t>
  </si>
  <si>
    <t>F001</t>
  </si>
  <si>
    <t>00000012</t>
  </si>
  <si>
    <t>PE - TRANSFERENCIA DE FONDOS</t>
  </si>
  <si>
    <t>OTROS GASTOS NO INCLUIDOS EN EL NUMERAL 4</t>
  </si>
  <si>
    <t>12 Intermediación Laboral y Tercerización (a partir 01/04/2018)</t>
  </si>
  <si>
    <t>Retiro de bienes gravados con el IGV.</t>
  </si>
  <si>
    <t>ITEM FALCON</t>
  </si>
  <si>
    <t>Prueba CSV</t>
  </si>
  <si>
    <t>VAT_PE:S-PE</t>
  </si>
  <si>
    <t>Accounting &amp; Finance</t>
  </si>
  <si>
    <t>BIB</t>
  </si>
  <si>
    <t>USD</t>
  </si>
  <si>
    <t>Comprobante de No Domiciliado</t>
  </si>
  <si>
    <t>00000013</t>
  </si>
  <si>
    <t>019 TUMBES</t>
  </si>
  <si>
    <t>BRASIL</t>
  </si>
  <si>
    <t>Las regalías por asesoramiento técnico, económico, financiero, o de otra índole, prestados desde el exterior por entidades estatales u organismos internacionales.</t>
  </si>
  <si>
    <t>Art. 10° e)</t>
  </si>
  <si>
    <t>SERVICIO PRESTADO EXCLUSIVAMENTE EN EL EXTRANJERO</t>
  </si>
  <si>
    <t>VAT_PE:E-PE</t>
  </si>
  <si>
    <t>Actividades de seguro</t>
  </si>
  <si>
    <t>6095.00 Expenses : Materials (Exp)</t>
  </si>
  <si>
    <t>ExternalID</t>
  </si>
  <si>
    <t>A/P ACCOUNT</t>
  </si>
  <si>
    <t>Beneficiario</t>
  </si>
  <si>
    <t>ACCOUNT</t>
  </si>
  <si>
    <t>CURRENCY</t>
  </si>
  <si>
    <t>EXCHANGE RATE</t>
  </si>
  <si>
    <t>DATE</t>
  </si>
  <si>
    <t>POSTING PERIOD</t>
  </si>
  <si>
    <t>CHEQUE #</t>
  </si>
  <si>
    <t>Nota</t>
  </si>
  <si>
    <t>SUBSIDIARY</t>
  </si>
  <si>
    <t xml:space="preserve">DEPARTMENT </t>
  </si>
  <si>
    <t>CLASS</t>
  </si>
  <si>
    <t>LOCATION</t>
  </si>
  <si>
    <t>LATAM - PAYMENT METHOD</t>
  </si>
  <si>
    <t>BILL</t>
  </si>
  <si>
    <t>PAYMENT</t>
  </si>
  <si>
    <t>BP_PE_0002</t>
  </si>
  <si>
    <t>Oct 2026</t>
  </si>
  <si>
    <t>BPPE00001</t>
  </si>
  <si>
    <t>Pruebas CSV</t>
  </si>
  <si>
    <t>Date</t>
  </si>
  <si>
    <t>Memo</t>
  </si>
  <si>
    <t>Subsidiary</t>
  </si>
  <si>
    <t xml:space="preserve">Currency </t>
  </si>
  <si>
    <t>Exchange Rate</t>
  </si>
  <si>
    <t>Account</t>
  </si>
  <si>
    <t>Debit</t>
  </si>
  <si>
    <t>Credit</t>
  </si>
  <si>
    <t>Name</t>
  </si>
  <si>
    <t>Asiento_000003</t>
  </si>
  <si>
    <t>Carga CSV</t>
  </si>
  <si>
    <t>Prueba Debito</t>
  </si>
  <si>
    <t>Prueba Credito</t>
  </si>
  <si>
    <t>Cliente</t>
  </si>
  <si>
    <t>Latam - Serie CxC</t>
  </si>
  <si>
    <t>Latam - Forma de Pago</t>
  </si>
  <si>
    <t>Latam - Es TTG?</t>
  </si>
  <si>
    <t>Articulos: Nivel de Precio</t>
  </si>
  <si>
    <t>FACT_VENTA_0001</t>
  </si>
  <si>
    <t>FFF1</t>
  </si>
  <si>
    <t>00000010</t>
  </si>
  <si>
    <t>Contado</t>
  </si>
  <si>
    <t>Custom</t>
  </si>
  <si>
    <t>Latam - Modification Reason</t>
  </si>
  <si>
    <t>Latam - Documento Serie Ref</t>
  </si>
  <si>
    <t>Aplica</t>
  </si>
  <si>
    <t>Monto aplicado</t>
  </si>
  <si>
    <t>NotaCredito_0000003</t>
  </si>
  <si>
    <t>Nota de Credito</t>
  </si>
  <si>
    <t>Anulación de la operación</t>
  </si>
  <si>
    <t>Pago</t>
  </si>
  <si>
    <t>Pago_FCliente_0001</t>
  </si>
  <si>
    <t>ID interno</t>
  </si>
  <si>
    <t>Nombre</t>
  </si>
  <si>
    <t>Clave</t>
  </si>
  <si>
    <t>Tipo de Renta Numero</t>
  </si>
  <si>
    <t>Tipo de Renta Descripcion</t>
  </si>
  <si>
    <t>Tipo de Renta Codigo</t>
  </si>
  <si>
    <t>Tipo de Renta Pais</t>
  </si>
  <si>
    <t>Latam - Porcentaje Detracción</t>
  </si>
  <si>
    <t>Latam - Codigo de Concepto</t>
  </si>
  <si>
    <t>Latam - País</t>
  </si>
  <si>
    <t>ID</t>
  </si>
  <si>
    <t>Latam Exoneracion Codigo Sunat</t>
  </si>
  <si>
    <t>PE - CARTA DE CRÉDITO DOCUMENTARIO - COMERCIO EXTERIOR</t>
  </si>
  <si>
    <t>Se incluye dentro de la enajenación de de empresas no domiciliadas en el país la enajenación de ADR´s (American Depositary Receipts) que tengan como subyacente a tales acciones.</t>
  </si>
  <si>
    <t>Perú</t>
  </si>
  <si>
    <t>SIN DETRACCIÓN</t>
  </si>
  <si>
    <t>PE - CARTA DE CRÉDITO SIMPLE - COMERCIO EXTERIOR</t>
  </si>
  <si>
    <t>Las obtenidas por la enajenación indirecta de acciones y participaciones representativas del capital de personas jurídicas domiciliadas en el país, cuando la operación cumple las condiciones para ser gravadas en el Perú</t>
  </si>
  <si>
    <t>1 Azúcar</t>
  </si>
  <si>
    <t>Las remuneraciones que perciban, por el ejercicio de su cargo en el país, los funcionarios y empleados considerados como tales dentro de la estructura organizacional de los gobiernos extranjeros, instituciones oficiales extranjeras y organismos internacionales, siempre que los convenios constitutivo</t>
  </si>
  <si>
    <t>PE - CHEQUES BANCARIOS - COMERCIO EXTERIOR</t>
  </si>
  <si>
    <t>Art. 10 f)</t>
  </si>
  <si>
    <t>Sujeto es el No Dom que distribuye por la reducción de capital dentro de los 12 meses anteriores cuando hubiera aumentado su capital como consecuencia de nuevos aportes, de capitalización de créditos o de una reorganización</t>
  </si>
  <si>
    <t>10 Residuos, subproductos, desechos, recortes, desperdicios y formas primarias derivadas de los mismos</t>
  </si>
  <si>
    <t>Las rentas de los inmuebles de propiedad de organismos internacionales que les sirvan de sede.</t>
  </si>
  <si>
    <t>PE - CHEQUES CON LA CLÁUSULA DE "NO NEGOCIABLE", "INTRANSFERIBLES", "NO A LA ORDEN" U OTRA EQUIVALENTE, A QUE SE REFIERE EL INCISO F) DEL ARTICULO 5° DEL DECRETO LEGISLATIVO.</t>
  </si>
  <si>
    <t>Art 12 y 48° f)</t>
  </si>
  <si>
    <t>10%. sobre las remuneraciones brutas que obtengan por el suministro de noticias y, en general material informativo o gráfico, a personas o entidades domiciliadas o que utilicen dicho material en el país.</t>
  </si>
  <si>
    <t>Los ingresos brutos que perciben las representaciones deportivas nacionales de países extranjeros por sus actuaciones en el país.</t>
  </si>
  <si>
    <t>PE - DEPÓSITO EN CUENTA</t>
  </si>
  <si>
    <t>Art 12 y 48° g)</t>
  </si>
  <si>
    <t>para su utilización por personas naturales o jurídicas domiciliadas: 20% sobre los ingresos brutos que perciban por el uso de películas cinematográficas o para televisión, "video tape", radionovelas, discos fonográficos, historietas gráficas y cualquier otro medio similar de proyección, reproducción, transmisión o difusión de imágenes o sonidos.</t>
  </si>
  <si>
    <t>14 Carnes y despojos comestibles (2)</t>
  </si>
  <si>
    <t>Los ingresos extranjeros por los espectáculos en vivo de teatro, zarzuela, conciertos de música clásica, ópera, opereta, ballet y folclor, calificados como espectáculos públicos culturales por el Instituto Nacional de Cultura, realizados en el país. brutos que perciben las representaciones de países</t>
  </si>
  <si>
    <t>PE - EFECTIVO, EN LOS DEMÁS CASOS</t>
  </si>
  <si>
    <t>Art 12 y 48° h)</t>
  </si>
  <si>
    <t>en el país o desde el país al exterior y no presten el servicio de transporte 15% de los ingresos brutos que obtengan por dicho suministro.</t>
  </si>
  <si>
    <t>16 Aceite de pescado</t>
  </si>
  <si>
    <t>Los intereses provenientes de créditos de fomento otorgados directamente o mediante proveedores o intermediarios financieros por organismos internacionales o instituciones gubernamentales extranjeras.</t>
  </si>
  <si>
    <t>PE - EFECTIVO, POR OPERACIONES EN LAS QUE NO EXISTE OBLIGACIÓN DE UTILIZAR MEDIOS DE PAGO</t>
  </si>
  <si>
    <t>Art 12 y 48° i)</t>
  </si>
  <si>
    <t>80% de los ingresos brutos que obtengan por el exceso de estadía de contenedores.</t>
  </si>
  <si>
    <t>17 Harina, polvo y "pellets" de pescado, crustáceos, moluscos y demás invertebrados acuáticos</t>
  </si>
  <si>
    <t>PE - GIRO</t>
  </si>
  <si>
    <t>Art 12 y 48° j)</t>
  </si>
  <si>
    <t>20% de los ingresos brutos que obtengan los contribuyentes no domiciliados por la cesión de derechos para la retransmisión por televisión en el país de eventos en vivo realizados en el extranjero.</t>
  </si>
  <si>
    <t>19 Arrendamiento de Bienes</t>
  </si>
  <si>
    <t>PE - LETRAS DE CAMBIO</t>
  </si>
  <si>
    <t>Art 12 y 48°e)</t>
  </si>
  <si>
    <t>Servicio portadores, teleservcios o finales, difusión y de valor añadido. Con excepcion de los Servicios Digitales según 4-A</t>
  </si>
  <si>
    <t>20 Mantenimiento y Reparación de Bienes Muebles</t>
  </si>
  <si>
    <t>PE - MEDIOS DE PAGO DE COMERCIO EXTERIOR</t>
  </si>
  <si>
    <t>Art. 12 y 48° c)</t>
  </si>
  <si>
    <t>Alquiler de Aeronaves, 60% sobre Ingresos Brutos que perciban por dicha actividad</t>
  </si>
  <si>
    <t>21 Movimiento de Carga</t>
  </si>
  <si>
    <t>PE - ORDEN DE PAGO</t>
  </si>
  <si>
    <t>Art. 12 y 48° d)</t>
  </si>
  <si>
    <t>Excepto Otros transportes no aereos o maritimos que van por los ingresos de la parte prestada en el país</t>
  </si>
  <si>
    <t>22 Otros Servicios Empresariales (a partir 01/04/2018)</t>
  </si>
  <si>
    <t>PE - ORDEN DE PAGO DOCUMENTARIO - COMERCIO EXTERIOR</t>
  </si>
  <si>
    <t>2% por el ingresos brutos por fletamiento o transporte marítimo.</t>
  </si>
  <si>
    <t>23 Leche</t>
  </si>
  <si>
    <t>PE - ORDEN DE PAGO SIMPLE - COMERCIO EXTERIOR</t>
  </si>
  <si>
    <t>1% por el ingresos brutos por el transporte aéreo.</t>
  </si>
  <si>
    <t>24 Comisión Mercantil</t>
  </si>
  <si>
    <t>PE - OTROS MEDIOS DE PAGO</t>
  </si>
  <si>
    <t>Empresas por reciprocidad en lineas extranjeras con sedes en esos países</t>
  </si>
  <si>
    <t>25 Fabricación de Bienes Por Encargo</t>
  </si>
  <si>
    <t>PE - REMESA DOCUMENTARIA - COMERCIO EXTERIOR</t>
  </si>
  <si>
    <t>Art. 12 y 48°a)</t>
  </si>
  <si>
    <t>Actividades de Seguros 7% sobre las primas. 
 Comisiones por Reaseguros sobre personas y/o bienes radicados en el país</t>
  </si>
  <si>
    <t>26 Servicio de Transporte de Personas</t>
  </si>
  <si>
    <t>PE - REMESA SIMPLE - COMERCIO EXTERIOR</t>
  </si>
  <si>
    <t>Art. 12 y 48°b)</t>
  </si>
  <si>
    <t>Alquiler de Naves, 8% sobre Ingresos Brutos que perciban por dicha actividad</t>
  </si>
  <si>
    <t>27 Transporte de bienes realizado por vía terrestre</t>
  </si>
  <si>
    <t>PE - TARJETA DE CRÉDITO</t>
  </si>
  <si>
    <t>Art. 13°</t>
  </si>
  <si>
    <t>Extranjeros que ingresan al país y cuentas con las siguientes calidades especificas a prestar servicios</t>
  </si>
  <si>
    <t>3 Alcohol etílico</t>
  </si>
  <si>
    <t>PE - TARJETA DE CRÉDITO EMITIDA EN EL PAÍS O EN EL EXTERIOR POR UNA EMPRESA NO PERTENECIENTE AL SISTEMA FINANCIERO, CUYO OBJETO PRINCIPAL SEA LA EMISIÓN Y ADMINISTRACIÓN DE TARJETAS DE CRÉDITO</t>
  </si>
  <si>
    <t>Art. 9° a)</t>
  </si>
  <si>
    <t>Enajenación Inmuebles y derechos sobre inmuebles</t>
  </si>
  <si>
    <t>30 Contratos de Construcción</t>
  </si>
  <si>
    <t>PE - TARJETA DE DÉBITO</t>
  </si>
  <si>
    <t>Arrendamiento de predios</t>
  </si>
  <si>
    <t>31 Oro gravado con el IGV(3)</t>
  </si>
  <si>
    <t>PE - TARJETAS DE CRÉDITO EMITIDAS EN EL EXTERIOR POR EMPRESAS BANCARIAS O FINANCIERAS NO DOMICILIADAS</t>
  </si>
  <si>
    <t>Art. 9° b)</t>
  </si>
  <si>
    <t>Regalias: Bienes o derechos por los que pagan son utilizados país.</t>
  </si>
  <si>
    <t>32 Páprika y otros frutos de los géneros capsicum o pimienta</t>
  </si>
  <si>
    <t>Regalias: Pagador de las regalías es domiciliado.</t>
  </si>
  <si>
    <t>34 Minerales metálicos no auríferos</t>
  </si>
  <si>
    <t>PE - TRANSFERENCIAS - COMERCIO EXTERIOR</t>
  </si>
  <si>
    <t>Rentas de bienes situados en el país o derechos utilizados en el país, incluye enajenación.</t>
  </si>
  <si>
    <t>35 Bienes exonerados del IGV</t>
  </si>
  <si>
    <t>Art. 9° c)</t>
  </si>
  <si>
    <t>Por capitales, intereses, comisiones, primas - operaciones financieras - capital utilizado en el país o el pagador sea un sujeto domiciliado. Originadas por fondos de cualquier tipo de entidad, por cesión a terceros de un capital, por operaciones de capitalización o por contratos de seguro de vida o invalidez que no tengan su origen en el trabajo personal.</t>
  </si>
  <si>
    <t>36 Oro y demás minerales metálicos exonerados del IGV</t>
  </si>
  <si>
    <t>Art. 9° d)</t>
  </si>
  <si>
    <t>Los rendimientos de los ADR y GDRs que tengan como subyacentes acciones emitidas por empresas no domiciliadas</t>
  </si>
  <si>
    <t>37 Demas servicios gravados IGV (a partir 01/04/2018)</t>
  </si>
  <si>
    <t>Dividendos y cualquier otra forma de distribución de utilidades, cuando la empresa que los distribuye, pague y acredite se encuentre domiciliada en el país, o cuando el fondo de inversión, patrimonio fideicometido o fiduciario banacario, fondo de pensiones, que lo distribuya, pague o acredite, se encuentre constituido o establecido en el país</t>
  </si>
  <si>
    <t>39 Minerales no metálicos</t>
  </si>
  <si>
    <t>Art. 9° e)</t>
  </si>
  <si>
    <t>Originadas en actividades civiles, comerciales, empresariales o de cualquier índole, que se lleven a cabo en territorio nacional.</t>
  </si>
  <si>
    <t>4 Recursos hidrobiológicos</t>
  </si>
  <si>
    <t>Art. 9° f)</t>
  </si>
  <si>
    <t>Originadas en el trabajo personal que lleven a cabo en el territorio nacional No comprende cuando se ingresa al país temporalmente a efectuar: actos previos a la realización de inversiones extranjeras; actos destinados a supervisar o controlar la inversión o el negocio, tales como los de recolección de datos o información o la realización de entrevistas; actos relacionados con la contratación de personal local; actos relacionados con la firma de convenios o actos similares.</t>
  </si>
  <si>
    <t>40 Bien Inmueble Gravado con el IGV</t>
  </si>
  <si>
    <t>Art. 9° g)</t>
  </si>
  <si>
    <t>Rentas vitalicias y las pensiones que tengan su origen en el trabajo personal, pagadas por un sujeto domiciliada</t>
  </si>
  <si>
    <t>5 Maíz amarillo duro</t>
  </si>
  <si>
    <t>Art. 9° h)</t>
  </si>
  <si>
    <t>Las obtenidas por la redención o rescate de certificados, títulos, bonos y papeles comerciales, valores representativos de cédulas hipotecarias, obligaciones al portador u otros valores al portador y otros valores mobiliarios cuando los Fondos de Inversión, Fondos Mutuos de Inversión en Valores o Patrimonios Fideicometidos que los hayan emitido estén constituidos o establecidos en el Perú. Fuera de Bolsa</t>
  </si>
  <si>
    <t>7 Caña de azúcar</t>
  </si>
  <si>
    <t>Las obtenidas por la enajenación de acciones y participaciones representativas del capital, cuando las empresas, que los hayan emitido estén constituidos o establecidos en el Perú. Fuera de Bolsa</t>
  </si>
  <si>
    <t>8 Madera</t>
  </si>
  <si>
    <t>Enajenación de los ADR’s y GDR’s que tengan como subyacente acciones emitidas por empresas domiciliadas en el país.</t>
  </si>
  <si>
    <t>9 Arena y piedra</t>
  </si>
  <si>
    <t>Las obtenidas por la enajenación de acciones y participaciones representativas del capital, acciones de inversión, certificados, títulos, bonos y papeles comerciales, valores representativos de cédulas hipotecarias, obligaciones al portador u otros valores al portador y otros valores mobiliarios cuando las empresas, sociedades, Fondos de Inversión, Fondos Mutuos de Inversión en Valores o Patrimonios Fideicometidos que los hayan emitido estén constituidos o establecidos en el Perú. Dentro de Bolsa</t>
  </si>
  <si>
    <t>Las obtenidas por la enajenación, de certificados, títulos, bonos y papeles comerciales, valores representativos de cédulas hipotecarias, obligaciones al portador u otros valores al portador y otros valores mobiliarios cuando los Fondos de Inversión, Fondos Mutuos de Inversión en Valores o Patrimonios Fideicometidos que los hayan emitido estén constituidos o establecidos en el Perú. Fuera de Bolsa</t>
  </si>
  <si>
    <t>Las obtenidas por la redención o rescate de acciones de inversión, certificados, títulos, bonos y papeles comerciales, valores representativos de cédulas hipotecarias, obligaciones al portador u otros valores al portador y otros valores mobiliarios cuando las empresas, sociedades, Fondos de Inversión, Fondos Mutuos de Inversión en Valores o Patrimonios Fideicometidos que los hayan emitido estén constituidos o establecidos en el Perú. Dentro de Bolsa</t>
  </si>
  <si>
    <t>Art. 9° i)</t>
  </si>
  <si>
    <t>Las obtenidas por servicios digitales prestados a través del Internet o de cualquier adaptación o aplicación de los protocolos, plataformas o de la tecnología utilizada por Internet o cualquier otra red a través de la que se presten servicios equivalentes, cuando el servicio se utilice económicamente, use o consuma en el país</t>
  </si>
  <si>
    <t>Art. 9° j)</t>
  </si>
  <si>
    <t>La obtenida por asistencia técnica, cuando ésta se utilice económicamente en el país</t>
  </si>
  <si>
    <t>Bienes</t>
  </si>
  <si>
    <t>10 a)</t>
  </si>
  <si>
    <t>Los intereses de obligaciones, cuando la entidad emisora ha sido constituida en el país</t>
  </si>
  <si>
    <t>10 b)</t>
  </si>
  <si>
    <t>Remuneracion pagada por Domiciliados; Sujeto miembro de un consejo directivo o adm.; Actuación en el Extranjero</t>
  </si>
  <si>
    <t>10 c)</t>
  </si>
  <si>
    <t>Honorarios o remuneraciones del Sector Público Nacional por trabajos realizados en el exterior.</t>
  </si>
  <si>
    <t>10 d)</t>
  </si>
  <si>
    <t>Resultados de IFD con cobertura destinados a la generación de RFP</t>
  </si>
  <si>
    <t>IFD donde Activo subyacente sea referido al Tipo de Cambio Moneda extranjera. 180 dias. (La Dom es la prestadora del IFD, la No Dom es la que obtiene el resultado)</t>
  </si>
  <si>
    <t>Resultados Proveniente de la contratación de IFD</t>
  </si>
  <si>
    <t>Proveniente de la contratación de IFD sin cobertura destinados a la generación de RFP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</si>
</sst>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quot;/&quot;yyyy"/>
    <numFmt numFmtId="165" formatCode="mm\-dd"/>
  </numFmts>
  <fonts count="11" x14ac:knownFonts="1">
    <font>
      <sz val="11"/>
      <color theme="1"/>
      <name val="Calibri"/>
      <scheme val="minor"/>
    </font>
    <font>
      <b/>
      <sz val="11"/>
      <color rgb="FFFF0000"/>
      <name val="Calibri"/>
      <scheme val="minor"/>
    </font>
    <font>
      <sz val="11"/>
      <color theme="1"/>
      <name val="Calibri"/>
      <scheme val="minor"/>
    </font>
    <font>
      <b/>
      <sz val="11"/>
      <color theme="1"/>
      <name val="Calibri"/>
      <scheme val="minor"/>
    </font>
    <font>
      <b/>
      <sz val="11"/>
      <color rgb="FF38761D"/>
      <name val="Calibri"/>
      <scheme val="minor"/>
    </font>
    <font>
      <b/>
      <sz val="11"/>
      <color rgb="FF3C78D8"/>
      <name val="Calibri"/>
      <scheme val="minor"/>
    </font>
    <font>
      <b/>
      <sz val="11"/>
      <color rgb="FFFF0000"/>
      <name val="Arial"/>
    </font>
    <font>
      <sz val="11"/>
      <color theme="1"/>
      <name val="Arial"/>
    </font>
    <font>
      <sz val="11"/>
      <color rgb="FFFFFF00"/>
      <name val="Calibri"/>
      <scheme val="minor"/>
    </font>
    <font>
      <b/>
      <sz val="7"/>
      <color theme="1"/>
      <name val="Arial"/>
    </font>
    <font>
      <sz val="8"/>
      <color theme="1"/>
      <name val="Arial"/>
    </font>
  </fonts>
  <fills count="7">
    <fill>
      <patternFill patternType="none"/>
    </fill>
    <fill>
      <patternFill patternType="gray125"/>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FF0000"/>
        <bgColor rgb="FFFF0000"/>
      </patternFill>
    </fill>
    <fill>
      <patternFill patternType="solid">
        <fgColor rgb="FFD0D0D0"/>
        <bgColor rgb="FFD0D0D0"/>
      </patternFill>
    </fill>
  </fills>
  <borders count="17">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medium">
        <color rgb="FF000000"/>
      </left>
      <right style="thin">
        <color rgb="FF000000"/>
      </right>
      <top style="medium">
        <color rgb="FF000000"/>
      </top>
      <bottom/>
      <diagonal/>
    </border>
    <border>
      <left/>
      <right/>
      <top style="medium">
        <color rgb="FF000000"/>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6" xfId="0" applyFont="1" applyBorder="1" applyAlignment="1">
      <alignment horizontal="center" vertical="center"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0" fontId="2" fillId="0" borderId="0" xfId="0" applyFont="1" applyAlignment="1">
      <alignment horizontal="center"/>
    </xf>
    <xf numFmtId="2"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7" fillId="0" borderId="8" xfId="0" applyFont="1" applyBorder="1" applyAlignment="1">
      <alignment horizontal="center" vertical="center" wrapText="1"/>
    </xf>
    <xf numFmtId="0" fontId="2" fillId="0" borderId="8" xfId="0" applyFont="1" applyBorder="1" applyAlignment="1">
      <alignment horizontal="center" vertical="center" wrapText="1"/>
    </xf>
    <xf numFmtId="164" fontId="2" fillId="0" borderId="8" xfId="0" applyNumberFormat="1" applyFont="1" applyBorder="1" applyAlignment="1">
      <alignment horizontal="center" vertical="center" wrapText="1"/>
    </xf>
    <xf numFmtId="49" fontId="7" fillId="0" borderId="8" xfId="0" applyNumberFormat="1" applyFont="1" applyBorder="1" applyAlignment="1">
      <alignment horizontal="center" vertical="center" wrapText="1"/>
    </xf>
    <xf numFmtId="0" fontId="7" fillId="0" borderId="9" xfId="0" applyFont="1" applyBorder="1" applyAlignment="1">
      <alignment horizontal="center" vertical="center" wrapText="1"/>
    </xf>
    <xf numFmtId="0" fontId="7" fillId="0" borderId="8" xfId="0" applyFont="1" applyBorder="1" applyAlignment="1">
      <alignment horizontal="center"/>
    </xf>
    <xf numFmtId="4" fontId="7" fillId="0" borderId="8" xfId="0" applyNumberFormat="1" applyFont="1" applyBorder="1" applyAlignment="1">
      <alignment horizont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2" fillId="0" borderId="14" xfId="0" applyFont="1" applyBorder="1"/>
    <xf numFmtId="164" fontId="2" fillId="0" borderId="14" xfId="0" applyNumberFormat="1" applyFont="1" applyBorder="1" applyAlignment="1">
      <alignment horizontal="center" vertical="center" wrapText="1"/>
    </xf>
    <xf numFmtId="49" fontId="7" fillId="0" borderId="14" xfId="0" applyNumberFormat="1" applyFont="1" applyBorder="1" applyAlignment="1">
      <alignment horizontal="center" vertical="center" wrapText="1"/>
    </xf>
    <xf numFmtId="0" fontId="2" fillId="0" borderId="14" xfId="0" applyFont="1" applyBorder="1" applyAlignment="1">
      <alignment horizontal="center" vertical="center" wrapText="1"/>
    </xf>
    <xf numFmtId="0" fontId="2" fillId="0" borderId="0" xfId="0" applyFont="1"/>
    <xf numFmtId="49" fontId="7" fillId="0" borderId="0" xfId="0" applyNumberFormat="1" applyFont="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4" fillId="0" borderId="16" xfId="0" applyFont="1" applyBorder="1" applyAlignment="1">
      <alignment horizontal="center" vertical="center" wrapText="1"/>
    </xf>
    <xf numFmtId="0" fontId="2" fillId="0" borderId="0" xfId="0" applyFont="1" applyAlignment="1">
      <alignment horizontal="center" vertical="center"/>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8" fillId="5" borderId="0" xfId="0" applyFont="1" applyFill="1" applyAlignment="1">
      <alignment horizontal="center" vertical="center" wrapText="1"/>
    </xf>
    <xf numFmtId="0" fontId="3" fillId="0" borderId="0" xfId="0" applyFont="1" applyAlignment="1">
      <alignment horizontal="center" vertical="center" wrapText="1"/>
    </xf>
    <xf numFmtId="2" fontId="3" fillId="0" borderId="0" xfId="0" applyNumberFormat="1" applyFont="1" applyAlignment="1">
      <alignment horizontal="center" vertical="center" wrapText="1"/>
    </xf>
    <xf numFmtId="0" fontId="9" fillId="6" borderId="0" xfId="0" applyFont="1" applyFill="1" applyAlignment="1">
      <alignment horizontal="center"/>
    </xf>
    <xf numFmtId="0" fontId="9" fillId="6" borderId="0" xfId="0" applyFont="1" applyFill="1" applyAlignment="1">
      <alignment horizontal="left"/>
    </xf>
    <xf numFmtId="0" fontId="9" fillId="6" borderId="0" xfId="0" applyFont="1" applyFill="1" applyAlignment="1">
      <alignment horizontal="center" vertical="center"/>
    </xf>
    <xf numFmtId="0" fontId="10" fillId="0" borderId="0" xfId="0" applyFont="1" applyAlignment="1">
      <alignment horizontal="center"/>
    </xf>
    <xf numFmtId="0" fontId="10" fillId="0" borderId="0" xfId="0" applyFont="1" applyAlignment="1">
      <alignment horizontal="left"/>
    </xf>
    <xf numFmtId="0" fontId="10" fillId="0" borderId="0" xfId="0" applyFont="1" applyAlignment="1">
      <alignment horizontal="right" vertical="center"/>
    </xf>
    <xf numFmtId="0" fontId="10" fillId="0" borderId="0" xfId="0" applyFont="1" applyAlignment="1">
      <alignment vertical="center"/>
    </xf>
    <xf numFmtId="10" fontId="10" fillId="0" borderId="0" xfId="0" applyNumberFormat="1" applyFont="1" applyAlignment="1">
      <alignment horizontal="right" vertical="center"/>
    </xf>
    <xf numFmtId="0" fontId="10" fillId="0" borderId="0" xfId="0" applyFont="1" applyAlignment="1">
      <alignment horizontal="right"/>
    </xf>
    <xf numFmtId="0" fontId="10" fillId="0" borderId="0" xfId="0" applyFont="1"/>
    <xf numFmtId="165" fontId="10" fillId="0" borderId="0" xfId="0" applyNumberFormat="1" applyFont="1" applyAlignment="1">
      <alignment vertical="center"/>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13</xdr:row>
      <xdr:rowOff>76200</xdr:rowOff>
    </xdr:to>
    <xdr:sp macro="" textlink="">
      <xdr:nvSpPr>
        <xdr:cNvPr id="1032" name="Text Box 8" hidden="1">
          <a:extLst>
            <a:ext uri="{FF2B5EF4-FFF2-40B4-BE49-F238E27FC236}">
              <a16:creationId xmlns:a16="http://schemas.microsoft.com/office/drawing/2014/main" id="{7C11663D-6053-3358-6CBD-EF3F04954D2E}"/>
            </a:ext>
          </a:extLst>
        </xdr:cNvPr>
        <xdr:cNvSpPr txBox="1">
          <a:spLocks noChangeArrowheads="1"/>
        </xdr:cNvSpPr>
      </xdr:nvSpPr>
      <xdr:spPr bwMode="auto">
        <a:xfrm>
          <a:off x="1638300" y="647700"/>
          <a:ext cx="5994400" cy="2952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13</xdr:row>
      <xdr:rowOff>76200</xdr:rowOff>
    </xdr:to>
    <xdr:sp macro="" textlink="">
      <xdr:nvSpPr>
        <xdr:cNvPr id="1031" name="Text Box 7" hidden="1">
          <a:extLst>
            <a:ext uri="{FF2B5EF4-FFF2-40B4-BE49-F238E27FC236}">
              <a16:creationId xmlns:a16="http://schemas.microsoft.com/office/drawing/2014/main" id="{41ED3B04-4D91-7205-E91A-9B510856C8B2}"/>
            </a:ext>
          </a:extLst>
        </xdr:cNvPr>
        <xdr:cNvSpPr txBox="1">
          <a:spLocks noChangeArrowheads="1"/>
        </xdr:cNvSpPr>
      </xdr:nvSpPr>
      <xdr:spPr bwMode="auto">
        <a:xfrm>
          <a:off x="1638300" y="647700"/>
          <a:ext cx="5994400" cy="2952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13</xdr:row>
      <xdr:rowOff>76200</xdr:rowOff>
    </xdr:to>
    <xdr:sp macro="" textlink="">
      <xdr:nvSpPr>
        <xdr:cNvPr id="1028" name="Text Box 4" hidden="1">
          <a:extLst>
            <a:ext uri="{FF2B5EF4-FFF2-40B4-BE49-F238E27FC236}">
              <a16:creationId xmlns:a16="http://schemas.microsoft.com/office/drawing/2014/main" id="{DFF23EF2-96E1-FE7B-A748-976A5D5EA2C8}"/>
            </a:ext>
          </a:extLst>
        </xdr:cNvPr>
        <xdr:cNvSpPr txBox="1">
          <a:spLocks noChangeArrowheads="1"/>
        </xdr:cNvSpPr>
      </xdr:nvSpPr>
      <xdr:spPr bwMode="auto">
        <a:xfrm>
          <a:off x="1638300" y="647700"/>
          <a:ext cx="5994400" cy="2952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13</xdr:row>
      <xdr:rowOff>76200</xdr:rowOff>
    </xdr:to>
    <xdr:sp macro="" textlink="">
      <xdr:nvSpPr>
        <xdr:cNvPr id="1025" name="Text Box 1" hidden="1">
          <a:extLst>
            <a:ext uri="{FF2B5EF4-FFF2-40B4-BE49-F238E27FC236}">
              <a16:creationId xmlns:a16="http://schemas.microsoft.com/office/drawing/2014/main" id="{087A1BBB-E712-A063-50DF-15869F572C3E}"/>
            </a:ext>
          </a:extLst>
        </xdr:cNvPr>
        <xdr:cNvSpPr txBox="1">
          <a:spLocks noChangeArrowheads="1"/>
        </xdr:cNvSpPr>
      </xdr:nvSpPr>
      <xdr:spPr bwMode="auto">
        <a:xfrm>
          <a:off x="1638300" y="647700"/>
          <a:ext cx="5994400" cy="2952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lexandra Jara" id="{DAAADC09-6E30-4906-AA83-342DEF0C370D}" userId="" providerId="google-sheets"/>
  <person displayName="Bryan Mauricio" id="{0AA6EFEE-720A-42BA-8E13-A434F59B8B9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9-15T21:03:16.00" personId="{0AA6EFEE-720A-42BA-8E13-A434F59B8B91}" id="{304BFF4C-A9C6-42C5-B53C-7CC8CB8E3F6F}">
    <text>i recommen mapping by INTERNAL ID</text>
  </threadedComment>
  <threadedComment ref="B1" dT="2026-10-07T16:58:33.00" personId="{DAAADC09-6E30-4906-AA83-342DEF0C370D}" id="{E4014236-63FD-4990-B790-D31A607286E2}">
    <text>InternalID</text>
  </threadedComment>
  <threadedComment ref="C1" dT="2026-10-07T16:58:25.00" personId="{DAAADC09-6E30-4906-AA83-342DEF0C370D}" id="{99518A8A-93C0-40D8-A5F4-3113BAC936B0}">
    <text>InternalID</text>
  </threadedComment>
  <threadedComment ref="G1" dT="2026-10-09T20:19:19.00" personId="{DAAADC09-6E30-4906-AA83-342DEF0C370D}" id="{B78EF74B-3388-4D52-903C-B2481FCCAC9A}">
    <text>InternalID</text>
  </threadedComment>
  <threadedComment ref="M1" dT="2026-10-07T15:51:19.00" personId="{DAAADC09-6E30-4906-AA83-342DEF0C370D}" id="{C743B436-8EE2-4930-AEC5-0C9EC2AB5299}">
    <text>Opcional</text>
  </threadedComment>
</ThreadedComments>
</file>

<file path=xl/threadedComments/threadedComment2.xml><?xml version="1.0" encoding="utf-8"?>
<ThreadedComments xmlns="http://schemas.microsoft.com/office/spreadsheetml/2018/threadedcomments" xmlns:x="http://schemas.openxmlformats.org/spreadsheetml/2006/main">
  <threadedComment ref="P1" dT="2026-10-09T21:11:03.00" personId="{DAAADC09-6E30-4906-AA83-342DEF0C370D}" id="{47054C7B-C7F1-4402-8EC3-0A08AF631CAC}">
    <text>Internalid</text>
  </threadedComment>
</ThreadedComments>
</file>

<file path=xl/threadedComments/threadedComment3.xml><?xml version="1.0" encoding="utf-8"?>
<ThreadedComments xmlns="http://schemas.microsoft.com/office/spreadsheetml/2018/threadedcomments" xmlns:x="http://schemas.openxmlformats.org/spreadsheetml/2006/main">
  <threadedComment ref="H1" dT="2026-10-13T20:39:13.00" personId="{DAAADC09-6E30-4906-AA83-342DEF0C370D}" id="{4B346172-5752-494E-9013-499E452EE2AC}">
    <text>InternalID</text>
  </threadedComment>
  <threadedComment ref="L2" dT="2026-10-14T13:53:52.00" personId="{DAAADC09-6E30-4906-AA83-342DEF0C370D}" id="{E7987FD9-A927-4EBA-BA3E-087533DC414A}">
    <text>InternalID</text>
  </threadedComment>
</ThreadedComments>
</file>

<file path=xl/threadedComments/threadedComment4.xml><?xml version="1.0" encoding="utf-8"?>
<ThreadedComments xmlns="http://schemas.microsoft.com/office/spreadsheetml/2018/threadedcomments" xmlns:x="http://schemas.openxmlformats.org/spreadsheetml/2006/main">
  <threadedComment ref="AB1" dT="2026-10-13T20:41:40.00" personId="{DAAADC09-6E30-4906-AA83-342DEF0C370D}" id="{BD239C66-69BF-41A1-9E22-D9F62FE405FF}">
    <text>InternalID</text>
  </threadedComment>
</ThreadedComments>
</file>

<file path=xl/threadedComments/threadedComment5.xml><?xml version="1.0" encoding="utf-8"?>
<ThreadedComments xmlns="http://schemas.microsoft.com/office/spreadsheetml/2018/threadedcomments" xmlns:x="http://schemas.openxmlformats.org/spreadsheetml/2006/main">
  <threadedComment ref="G1" dT="2026-09-15T20:23:34.00" personId="{0AA6EFEE-720A-42BA-8E13-A434F59B8B91}" id="{D6B75DBF-262A-4E99-BAFA-EDBF0F74ABD9}" done="1">
    <text>Only when you use a transactión with a currency differently of SOL</text>
  </threadedComment>
  <threadedComment ref="I1" dT="2026-09-15T20:24:09.00" personId="{0AA6EFEE-720A-42BA-8E13-A434F59B8B91}" id="{305E3657-E400-42D5-9A2F-6EE61E974932}" done="1">
    <text>Optional</text>
  </threadedComment>
  <threadedComment ref="J1" dT="2026-09-15T20:55:01.00" personId="{0AA6EFEE-720A-42BA-8E13-A434F59B8B91}" id="{E654D491-E2D6-4326-8265-A44393334B3F}" done="1">
    <text>I recommend mapping the invoice by invoice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3"/>
  <sheetViews>
    <sheetView topLeftCell="AD1" workbookViewId="0">
      <selection activeCell="AN3" sqref="AN3"/>
    </sheetView>
  </sheetViews>
  <sheetFormatPr baseColWidth="10" defaultColWidth="14.453125" defaultRowHeight="15" customHeight="1" x14ac:dyDescent="0.35"/>
  <cols>
    <col min="1" max="13" width="21.453125" customWidth="1"/>
    <col min="14" max="14" width="26.7265625" customWidth="1"/>
    <col min="15" max="15" width="24.453125" customWidth="1"/>
    <col min="16" max="20" width="21.453125" customWidth="1"/>
    <col min="21" max="23" width="21" customWidth="1"/>
    <col min="24" max="42" width="21.453125" customWidth="1"/>
  </cols>
  <sheetData>
    <row r="1" spans="1:41" ht="43.5" x14ac:dyDescent="0.35">
      <c r="A1" s="1" t="s">
        <v>0</v>
      </c>
      <c r="B1" s="2" t="s">
        <v>1</v>
      </c>
      <c r="C1" s="2" t="s">
        <v>2</v>
      </c>
      <c r="D1" s="2" t="s">
        <v>3</v>
      </c>
      <c r="E1" s="2" t="s">
        <v>4</v>
      </c>
      <c r="F1" s="2" t="s">
        <v>5</v>
      </c>
      <c r="G1" s="2" t="s">
        <v>6</v>
      </c>
      <c r="H1" s="2" t="s">
        <v>7</v>
      </c>
      <c r="I1" s="2" t="s">
        <v>8</v>
      </c>
      <c r="J1" s="2" t="s">
        <v>9</v>
      </c>
      <c r="K1" s="2" t="s">
        <v>10</v>
      </c>
      <c r="L1" s="3" t="s">
        <v>11</v>
      </c>
      <c r="M1" s="4" t="s">
        <v>12</v>
      </c>
      <c r="N1" s="5" t="s">
        <v>13</v>
      </c>
      <c r="O1" s="6" t="s">
        <v>14</v>
      </c>
      <c r="P1" s="7" t="s">
        <v>15</v>
      </c>
      <c r="Q1" s="8" t="s">
        <v>16</v>
      </c>
      <c r="R1" s="8" t="s">
        <v>17</v>
      </c>
      <c r="S1" s="8" t="s">
        <v>18</v>
      </c>
      <c r="T1" s="9" t="s">
        <v>19</v>
      </c>
      <c r="U1" s="10" t="s">
        <v>20</v>
      </c>
      <c r="V1" s="10" t="s">
        <v>21</v>
      </c>
      <c r="W1" s="11" t="s">
        <v>22</v>
      </c>
      <c r="X1" s="12" t="s">
        <v>23</v>
      </c>
      <c r="Y1" s="13" t="s">
        <v>24</v>
      </c>
      <c r="Z1" s="13" t="s">
        <v>25</v>
      </c>
      <c r="AA1" s="13" t="s">
        <v>26</v>
      </c>
      <c r="AB1" s="13" t="s">
        <v>27</v>
      </c>
      <c r="AC1" s="13" t="s">
        <v>28</v>
      </c>
      <c r="AD1" s="13" t="s">
        <v>29</v>
      </c>
      <c r="AE1" s="13" t="s">
        <v>30</v>
      </c>
      <c r="AF1" s="13" t="s">
        <v>31</v>
      </c>
      <c r="AG1" s="9" t="s">
        <v>32</v>
      </c>
      <c r="AH1" s="14" t="s">
        <v>33</v>
      </c>
      <c r="AI1" s="15" t="s">
        <v>34</v>
      </c>
      <c r="AJ1" s="15" t="s">
        <v>35</v>
      </c>
      <c r="AK1" s="16" t="s">
        <v>36</v>
      </c>
      <c r="AL1" s="15" t="s">
        <v>37</v>
      </c>
      <c r="AM1" s="15" t="s">
        <v>38</v>
      </c>
      <c r="AN1" s="15" t="s">
        <v>39</v>
      </c>
      <c r="AO1" s="9" t="s">
        <v>40</v>
      </c>
    </row>
    <row r="2" spans="1:41" ht="42.75" customHeight="1" x14ac:dyDescent="0.35">
      <c r="A2" s="17" t="s">
        <v>41</v>
      </c>
      <c r="B2" s="17">
        <v>296720</v>
      </c>
      <c r="C2" s="17">
        <v>111</v>
      </c>
      <c r="D2" s="17" t="s">
        <v>42</v>
      </c>
      <c r="E2" s="18">
        <v>46304</v>
      </c>
      <c r="F2" s="17" t="s">
        <v>43</v>
      </c>
      <c r="G2" s="17">
        <v>43</v>
      </c>
      <c r="H2" s="17" t="s">
        <v>44</v>
      </c>
      <c r="I2" s="17" t="s">
        <v>45</v>
      </c>
      <c r="J2" s="17" t="s">
        <v>46</v>
      </c>
      <c r="K2" s="19" t="s">
        <v>47</v>
      </c>
      <c r="L2" s="17" t="s">
        <v>48</v>
      </c>
      <c r="M2" s="17" t="s">
        <v>49</v>
      </c>
      <c r="N2" s="17" t="s">
        <v>50</v>
      </c>
      <c r="O2" s="17" t="s">
        <v>51</v>
      </c>
      <c r="P2" s="17"/>
      <c r="Q2" s="17"/>
      <c r="R2" s="17"/>
      <c r="S2" s="17"/>
      <c r="T2" s="17"/>
      <c r="U2" s="20"/>
      <c r="V2" s="20"/>
      <c r="W2" s="20"/>
      <c r="X2" s="17" t="s">
        <v>52</v>
      </c>
      <c r="Y2" s="17">
        <v>1</v>
      </c>
      <c r="Z2" s="17" t="s">
        <v>53</v>
      </c>
      <c r="AA2" s="21">
        <v>800</v>
      </c>
      <c r="AB2" s="21">
        <f t="shared" ref="AB2:AB3" si="0">Y2*AA2</f>
        <v>800</v>
      </c>
      <c r="AC2" s="17" t="s">
        <v>54</v>
      </c>
      <c r="AD2" s="17" t="s">
        <v>55</v>
      </c>
      <c r="AE2" s="17" t="s">
        <v>56</v>
      </c>
      <c r="AF2" s="17" t="s">
        <v>43</v>
      </c>
      <c r="AG2" s="17"/>
      <c r="AH2" s="17"/>
      <c r="AI2" s="21"/>
      <c r="AJ2" s="17"/>
      <c r="AK2" s="17"/>
      <c r="AL2" s="17"/>
      <c r="AM2" s="17"/>
      <c r="AN2" s="17"/>
      <c r="AO2" s="17"/>
    </row>
    <row r="3" spans="1:41" ht="42.75" customHeight="1" x14ac:dyDescent="0.35">
      <c r="A3" s="17" t="s">
        <v>41</v>
      </c>
      <c r="B3" s="17">
        <v>296720</v>
      </c>
      <c r="C3" s="17">
        <v>111</v>
      </c>
      <c r="D3" s="17" t="s">
        <v>57</v>
      </c>
      <c r="E3" s="18">
        <v>46304</v>
      </c>
      <c r="F3" s="17" t="s">
        <v>43</v>
      </c>
      <c r="G3" s="17">
        <v>43</v>
      </c>
      <c r="H3" s="17" t="s">
        <v>58</v>
      </c>
      <c r="I3" s="17" t="s">
        <v>58</v>
      </c>
      <c r="J3" s="17" t="s">
        <v>46</v>
      </c>
      <c r="K3" s="19" t="s">
        <v>59</v>
      </c>
      <c r="L3" s="17" t="s">
        <v>48</v>
      </c>
      <c r="M3" s="17"/>
      <c r="N3" s="17"/>
      <c r="O3" s="17"/>
      <c r="P3" s="17" t="s">
        <v>60</v>
      </c>
      <c r="Q3" s="17" t="s">
        <v>61</v>
      </c>
      <c r="R3" s="17" t="s">
        <v>62</v>
      </c>
      <c r="S3" s="17" t="s">
        <v>63</v>
      </c>
      <c r="T3" s="17" t="s">
        <v>64</v>
      </c>
      <c r="U3" s="20"/>
      <c r="V3" s="20"/>
      <c r="W3" s="20"/>
      <c r="X3" s="17" t="s">
        <v>52</v>
      </c>
      <c r="Y3" s="17">
        <v>1</v>
      </c>
      <c r="Z3" s="17" t="s">
        <v>53</v>
      </c>
      <c r="AA3" s="21">
        <v>800</v>
      </c>
      <c r="AB3" s="21">
        <f t="shared" si="0"/>
        <v>800</v>
      </c>
      <c r="AC3" s="17" t="s">
        <v>65</v>
      </c>
      <c r="AD3" s="17" t="s">
        <v>55</v>
      </c>
      <c r="AE3" s="17" t="s">
        <v>56</v>
      </c>
      <c r="AF3" s="17" t="s">
        <v>43</v>
      </c>
      <c r="AG3" s="17" t="s">
        <v>66</v>
      </c>
      <c r="AH3" s="17" t="s">
        <v>67</v>
      </c>
      <c r="AI3" s="21">
        <v>100</v>
      </c>
      <c r="AJ3" s="17" t="s">
        <v>65</v>
      </c>
      <c r="AK3" s="17" t="s">
        <v>53</v>
      </c>
      <c r="AL3" s="17" t="s">
        <v>55</v>
      </c>
      <c r="AM3" s="17" t="s">
        <v>56</v>
      </c>
      <c r="AN3" s="17" t="s">
        <v>43</v>
      </c>
      <c r="AO3" s="17"/>
    </row>
  </sheetData>
  <dataValidations count="7">
    <dataValidation type="list" allowBlank="1" showErrorMessage="1" sqref="Q2:Q3" xr:uid="{00000000-0002-0000-0000-000000000000}">
      <formula1>"BRASIL,CANADA,CHILE,COMUNIDAD ANDINA DE NACIONES (CAN),CONFEDERACIÓN SUIZA,ESTADOS UNIDOS MEXICANOS,NINGUNO,OTROS,PORTUGAL,REPUBLICA DE COREA"</formula1>
    </dataValidation>
    <dataValidation type="list" allowBlank="1" showErrorMessage="1" sqref="AC2:AC3 AJ2:AJ3" xr:uid="{00000000-0002-0000-0000-000001000000}">
      <formula1>"VAT_PE:S-PE,VAT_PE:E-PE,VAT_PE:I-PE,VAT_PE:R10-PE"</formula1>
    </dataValidation>
    <dataValidation type="list" allowBlank="1" showErrorMessage="1" sqref="M2:M3" xr:uid="{00000000-0002-0000-0000-000002000000}">
      <formula1>"OTROS GASTOS NO INCLUIDOS EN EL NUMERAL 4,OTROS ACTIVOS NO CONSIDERADOS EN LOS NUMERALES 1 Y 2,MERCADERIA, MATERIA PRIMA, SUMINISTRO, ENVASES Y EMBALAJES,GASTOS DE EDUCACiÓN, RECREACIÓN, SALUD, CULTURALES. REPRESENTACiÓN, CAPACITACIÓN, DE VIAJE, MANTENIMI"&amp;"ENTO DE VEHICULO y DE PREMIOS,ACTIVO FIJO"</formula1>
    </dataValidation>
    <dataValidation type="list" allowBlank="1" showErrorMessage="1" sqref="P2:P3" xr:uid="{00000000-0002-0000-0000-000005000000}">
      <formula1>"019 TUMBES,028 TALARA,046 PAITA,055 CHICLAYO,082 SALAVERRY,091 CHIMBOTE,118 MARTITIMA DEL CALLAO,127 PISCO,145 MOLLENDO MATARANI,154 AREQUIPA,163 ILO,172 TACNA,181 PUNO,190 CUZCO,217 PUCALLPA"</formula1>
    </dataValidation>
    <dataValidation type="list" allowBlank="1" showErrorMessage="1" sqref="H2:H3" xr:uid="{00000000-0002-0000-0000-000006000000}">
      <formula1>"Factura de Proveedor,Boleta de Venta,Comprobante de No Domiciliado,Gastos de Importación,Letras por Pagar,Nota de Crédito,Nota de Debito,Recibo por Honorarios,Registro de DUA"</formula1>
    </dataValidation>
    <dataValidation type="list" allowBlank="1" showErrorMessage="1" sqref="O2:O3" xr:uid="{00000000-0002-0000-0000-000007000000}">
      <formula1>"Retiro de bienes gravados con el IGV.,Traslado de bienes fuera del centro de producción, así como desde cualquier zona geográfica que goce de beneficios tributarios hacia el resto del país, cuando dicho traslado no se origine en una operación de venta.,Ve"&amp;"nta de bienes exonerada del IGV,Venta de bienes gravada con el IGV realizada a través de la Bolsa de Productos.,Venta de bienes muebles o inmuebles, prestación de servicios o contratos de construcción gravados con el IGV."</formula1>
    </dataValidation>
    <dataValidation type="list" allowBlank="1" showErrorMessage="1" sqref="T2:T3" xr:uid="{00000000-0002-0000-0000-00000A000000}">
      <formula1>"SERVICIO PRESTADO EXCLUSIVAMENTE EN EL EXTRANJERO,SERVICIO PRESTADO INTEGRAMENTE EN EL PERÚ,SERVICIO PRESTADO PARTE EN EL PERÚ Y PARTE EN EL EXTRANJERO"</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3000000}">
          <x14:formula1>
            <xm:f>'DATA MAESTRA'!$S$2:$S$7</xm:f>
          </x14:formula1>
          <xm:sqref>R2:R3</xm:sqref>
        </x14:dataValidation>
        <x14:dataValidation type="list" allowBlank="1" showErrorMessage="1" xr:uid="{00000000-0002-0000-0000-000004000000}">
          <x14:formula1>
            <xm:f>'DATA MAESTRA'!$B$2:$B$23</xm:f>
          </x14:formula1>
          <xm:sqref>L2:L3</xm:sqref>
        </x14:dataValidation>
        <x14:dataValidation type="list" allowBlank="1" showErrorMessage="1" xr:uid="{00000000-0002-0000-0000-000008000000}">
          <x14:formula1>
            <xm:f>'DATA MAESTRA'!$M$2:$M$32</xm:f>
          </x14:formula1>
          <xm:sqref>N2:N3</xm:sqref>
        </x14:dataValidation>
        <x14:dataValidation type="list" allowBlank="1" showErrorMessage="1" xr:uid="{00000000-0002-0000-0000-000009000000}">
          <x14:formula1>
            <xm:f>'DATA MAESTRA'!$F$2:$F$45</xm:f>
          </x14:formula1>
          <xm:sqref>S2:S3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98"/>
  <sheetViews>
    <sheetView workbookViewId="0"/>
  </sheetViews>
  <sheetFormatPr baseColWidth="10" defaultColWidth="14.453125" defaultRowHeight="15" customHeight="1" x14ac:dyDescent="0.35"/>
  <cols>
    <col min="2" max="2" width="29.7265625" customWidth="1"/>
    <col min="3" max="4" width="37.54296875" customWidth="1"/>
    <col min="9" max="9" width="26.26953125" customWidth="1"/>
    <col min="12" max="12" width="25.54296875" customWidth="1"/>
    <col min="13" max="13" width="21.7265625" customWidth="1"/>
    <col min="15" max="15" width="27" customWidth="1"/>
  </cols>
  <sheetData>
    <row r="1" spans="1:17" x14ac:dyDescent="0.35">
      <c r="A1" s="22" t="s">
        <v>68</v>
      </c>
      <c r="B1" s="23" t="s">
        <v>69</v>
      </c>
      <c r="C1" s="23" t="s">
        <v>70</v>
      </c>
      <c r="D1" s="23" t="s">
        <v>71</v>
      </c>
      <c r="E1" s="23" t="s">
        <v>72</v>
      </c>
      <c r="F1" s="23" t="s">
        <v>73</v>
      </c>
      <c r="G1" s="23" t="s">
        <v>74</v>
      </c>
      <c r="H1" s="23" t="s">
        <v>75</v>
      </c>
      <c r="I1" s="23" t="s">
        <v>76</v>
      </c>
      <c r="J1" s="24" t="s">
        <v>77</v>
      </c>
      <c r="K1" s="24" t="s">
        <v>78</v>
      </c>
      <c r="L1" s="24" t="s">
        <v>79</v>
      </c>
      <c r="M1" s="24" t="s">
        <v>80</v>
      </c>
      <c r="N1" s="24" t="s">
        <v>81</v>
      </c>
      <c r="O1" s="24" t="s">
        <v>82</v>
      </c>
      <c r="P1" s="24" t="s">
        <v>83</v>
      </c>
      <c r="Q1" s="24" t="s">
        <v>84</v>
      </c>
    </row>
    <row r="2" spans="1:17" x14ac:dyDescent="0.35">
      <c r="A2" s="25" t="s">
        <v>85</v>
      </c>
      <c r="B2" s="26">
        <v>111</v>
      </c>
      <c r="C2" s="26">
        <v>296720</v>
      </c>
      <c r="D2" s="25">
        <v>1231</v>
      </c>
      <c r="E2" s="25" t="s">
        <v>42</v>
      </c>
      <c r="F2" s="25">
        <v>1</v>
      </c>
      <c r="G2" s="27">
        <v>46304</v>
      </c>
      <c r="H2" s="28" t="s">
        <v>86</v>
      </c>
      <c r="I2" s="25" t="s">
        <v>87</v>
      </c>
      <c r="J2" s="29" t="s">
        <v>88</v>
      </c>
      <c r="K2" s="25">
        <v>43</v>
      </c>
      <c r="L2" s="26" t="s">
        <v>55</v>
      </c>
      <c r="M2" s="26" t="s">
        <v>56</v>
      </c>
      <c r="N2" s="26" t="s">
        <v>43</v>
      </c>
      <c r="O2" s="26"/>
      <c r="P2" s="30">
        <v>25114824</v>
      </c>
      <c r="Q2" s="31">
        <v>100</v>
      </c>
    </row>
    <row r="3" spans="1:17" x14ac:dyDescent="0.35"/>
    <row r="4" spans="1:17" x14ac:dyDescent="0.35"/>
    <row r="5" spans="1:17" x14ac:dyDescent="0.35"/>
    <row r="6" spans="1:17" x14ac:dyDescent="0.35"/>
    <row r="7" spans="1:17" x14ac:dyDescent="0.35"/>
    <row r="8" spans="1:17" x14ac:dyDescent="0.35"/>
    <row r="9" spans="1:17" x14ac:dyDescent="0.35"/>
    <row r="10" spans="1:17" x14ac:dyDescent="0.35"/>
    <row r="11" spans="1:17" x14ac:dyDescent="0.35"/>
    <row r="12" spans="1:17" x14ac:dyDescent="0.35"/>
    <row r="13" spans="1:17" x14ac:dyDescent="0.35"/>
    <row r="14" spans="1:17" x14ac:dyDescent="0.35"/>
    <row r="15" spans="1:17" x14ac:dyDescent="0.35"/>
    <row r="16" spans="1:17"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row r="247" x14ac:dyDescent="0.35"/>
    <row r="248" x14ac:dyDescent="0.35"/>
    <row r="249" x14ac:dyDescent="0.35"/>
    <row r="250" x14ac:dyDescent="0.35"/>
    <row r="251" x14ac:dyDescent="0.35"/>
    <row r="252" x14ac:dyDescent="0.35"/>
    <row r="253" x14ac:dyDescent="0.35"/>
    <row r="254" x14ac:dyDescent="0.35"/>
    <row r="255" x14ac:dyDescent="0.35"/>
    <row r="256" x14ac:dyDescent="0.35"/>
    <row r="257" x14ac:dyDescent="0.35"/>
    <row r="258" x14ac:dyDescent="0.35"/>
    <row r="259" x14ac:dyDescent="0.35"/>
    <row r="260" x14ac:dyDescent="0.35"/>
    <row r="261" x14ac:dyDescent="0.35"/>
    <row r="262" x14ac:dyDescent="0.35"/>
    <row r="263" x14ac:dyDescent="0.35"/>
    <row r="264" x14ac:dyDescent="0.35"/>
    <row r="265" x14ac:dyDescent="0.35"/>
    <row r="266" x14ac:dyDescent="0.35"/>
    <row r="267" x14ac:dyDescent="0.35"/>
    <row r="268" x14ac:dyDescent="0.35"/>
    <row r="269" x14ac:dyDescent="0.35"/>
    <row r="270" x14ac:dyDescent="0.35"/>
    <row r="271" x14ac:dyDescent="0.35"/>
    <row r="272" x14ac:dyDescent="0.35"/>
    <row r="273" x14ac:dyDescent="0.35"/>
    <row r="274"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3"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row r="371" x14ac:dyDescent="0.35"/>
    <row r="372" x14ac:dyDescent="0.35"/>
    <row r="373" x14ac:dyDescent="0.35"/>
    <row r="374" x14ac:dyDescent="0.35"/>
    <row r="375" x14ac:dyDescent="0.35"/>
    <row r="376" x14ac:dyDescent="0.35"/>
    <row r="377" x14ac:dyDescent="0.35"/>
    <row r="378" x14ac:dyDescent="0.35"/>
    <row r="379" x14ac:dyDescent="0.35"/>
    <row r="380" x14ac:dyDescent="0.35"/>
    <row r="381" x14ac:dyDescent="0.35"/>
    <row r="382" x14ac:dyDescent="0.35"/>
    <row r="383" x14ac:dyDescent="0.35"/>
    <row r="384" x14ac:dyDescent="0.35"/>
    <row r="385" x14ac:dyDescent="0.35"/>
    <row r="386" x14ac:dyDescent="0.35"/>
    <row r="387" x14ac:dyDescent="0.35"/>
    <row r="388" x14ac:dyDescent="0.35"/>
    <row r="389" x14ac:dyDescent="0.35"/>
    <row r="390" x14ac:dyDescent="0.35"/>
    <row r="391" x14ac:dyDescent="0.35"/>
    <row r="392" x14ac:dyDescent="0.35"/>
    <row r="393" x14ac:dyDescent="0.35"/>
    <row r="394" x14ac:dyDescent="0.35"/>
    <row r="395" x14ac:dyDescent="0.35"/>
    <row r="396" x14ac:dyDescent="0.35"/>
    <row r="397" x14ac:dyDescent="0.35"/>
    <row r="398" x14ac:dyDescent="0.35"/>
    <row r="399" x14ac:dyDescent="0.35"/>
    <row r="400" x14ac:dyDescent="0.35"/>
    <row r="401" x14ac:dyDescent="0.35"/>
    <row r="402" x14ac:dyDescent="0.35"/>
    <row r="403" x14ac:dyDescent="0.35"/>
    <row r="404" x14ac:dyDescent="0.35"/>
    <row r="405" x14ac:dyDescent="0.35"/>
    <row r="406" x14ac:dyDescent="0.35"/>
    <row r="407" x14ac:dyDescent="0.35"/>
    <row r="408" x14ac:dyDescent="0.35"/>
    <row r="409" x14ac:dyDescent="0.35"/>
    <row r="410" x14ac:dyDescent="0.35"/>
    <row r="411" x14ac:dyDescent="0.35"/>
    <row r="412" x14ac:dyDescent="0.35"/>
    <row r="413" x14ac:dyDescent="0.35"/>
    <row r="414" x14ac:dyDescent="0.35"/>
    <row r="415" x14ac:dyDescent="0.35"/>
    <row r="416" x14ac:dyDescent="0.35"/>
    <row r="417" x14ac:dyDescent="0.35"/>
    <row r="418" x14ac:dyDescent="0.35"/>
    <row r="419" x14ac:dyDescent="0.35"/>
    <row r="420" x14ac:dyDescent="0.35"/>
    <row r="421" x14ac:dyDescent="0.35"/>
    <row r="422" x14ac:dyDescent="0.35"/>
    <row r="423" x14ac:dyDescent="0.35"/>
    <row r="424" x14ac:dyDescent="0.35"/>
    <row r="425" x14ac:dyDescent="0.35"/>
    <row r="426" x14ac:dyDescent="0.35"/>
    <row r="427" x14ac:dyDescent="0.35"/>
    <row r="428" x14ac:dyDescent="0.35"/>
    <row r="429" x14ac:dyDescent="0.35"/>
    <row r="430" x14ac:dyDescent="0.35"/>
    <row r="431" x14ac:dyDescent="0.35"/>
    <row r="432" x14ac:dyDescent="0.35"/>
    <row r="433" x14ac:dyDescent="0.35"/>
    <row r="434" x14ac:dyDescent="0.35"/>
    <row r="435" x14ac:dyDescent="0.35"/>
    <row r="436" x14ac:dyDescent="0.35"/>
    <row r="437" x14ac:dyDescent="0.35"/>
    <row r="438" x14ac:dyDescent="0.35"/>
    <row r="439" x14ac:dyDescent="0.35"/>
    <row r="440" x14ac:dyDescent="0.35"/>
    <row r="441" x14ac:dyDescent="0.35"/>
    <row r="442" x14ac:dyDescent="0.35"/>
    <row r="443" x14ac:dyDescent="0.35"/>
    <row r="444" x14ac:dyDescent="0.35"/>
    <row r="445" x14ac:dyDescent="0.35"/>
    <row r="446" x14ac:dyDescent="0.35"/>
    <row r="447" x14ac:dyDescent="0.35"/>
    <row r="448" x14ac:dyDescent="0.35"/>
    <row r="449" x14ac:dyDescent="0.35"/>
    <row r="450" x14ac:dyDescent="0.35"/>
    <row r="451" x14ac:dyDescent="0.35"/>
    <row r="452" x14ac:dyDescent="0.35"/>
    <row r="453" x14ac:dyDescent="0.35"/>
    <row r="454" x14ac:dyDescent="0.35"/>
    <row r="455" x14ac:dyDescent="0.35"/>
    <row r="456" x14ac:dyDescent="0.35"/>
    <row r="457" x14ac:dyDescent="0.35"/>
    <row r="458" x14ac:dyDescent="0.35"/>
    <row r="459" x14ac:dyDescent="0.35"/>
    <row r="460" x14ac:dyDescent="0.35"/>
    <row r="461" x14ac:dyDescent="0.35"/>
    <row r="462" x14ac:dyDescent="0.35"/>
    <row r="463" x14ac:dyDescent="0.35"/>
    <row r="464" x14ac:dyDescent="0.35"/>
    <row r="465" x14ac:dyDescent="0.35"/>
    <row r="466" x14ac:dyDescent="0.35"/>
    <row r="467" x14ac:dyDescent="0.35"/>
    <row r="468" x14ac:dyDescent="0.35"/>
    <row r="469" x14ac:dyDescent="0.35"/>
    <row r="470" x14ac:dyDescent="0.35"/>
    <row r="471" x14ac:dyDescent="0.35"/>
    <row r="472" x14ac:dyDescent="0.35"/>
    <row r="473" x14ac:dyDescent="0.35"/>
    <row r="474" x14ac:dyDescent="0.35"/>
    <row r="475" x14ac:dyDescent="0.35"/>
    <row r="476" x14ac:dyDescent="0.35"/>
    <row r="477" x14ac:dyDescent="0.35"/>
    <row r="478" x14ac:dyDescent="0.35"/>
    <row r="479" x14ac:dyDescent="0.35"/>
    <row r="480" x14ac:dyDescent="0.35"/>
    <row r="481" x14ac:dyDescent="0.35"/>
    <row r="482" x14ac:dyDescent="0.35"/>
    <row r="483" x14ac:dyDescent="0.35"/>
    <row r="484" x14ac:dyDescent="0.35"/>
    <row r="485" x14ac:dyDescent="0.35"/>
    <row r="486" x14ac:dyDescent="0.35"/>
    <row r="487" x14ac:dyDescent="0.35"/>
    <row r="488" x14ac:dyDescent="0.35"/>
    <row r="489" x14ac:dyDescent="0.35"/>
    <row r="490" x14ac:dyDescent="0.35"/>
    <row r="491" x14ac:dyDescent="0.35"/>
    <row r="492" x14ac:dyDescent="0.35"/>
    <row r="493" x14ac:dyDescent="0.35"/>
    <row r="494" x14ac:dyDescent="0.35"/>
    <row r="495" x14ac:dyDescent="0.35"/>
    <row r="496" x14ac:dyDescent="0.35"/>
    <row r="497" x14ac:dyDescent="0.35"/>
    <row r="498" x14ac:dyDescent="0.35"/>
    <row r="499" x14ac:dyDescent="0.35"/>
    <row r="500" x14ac:dyDescent="0.35"/>
    <row r="501" x14ac:dyDescent="0.35"/>
    <row r="502" x14ac:dyDescent="0.35"/>
    <row r="503" x14ac:dyDescent="0.35"/>
    <row r="504" x14ac:dyDescent="0.35"/>
    <row r="505" x14ac:dyDescent="0.35"/>
    <row r="506" x14ac:dyDescent="0.35"/>
    <row r="507" x14ac:dyDescent="0.35"/>
    <row r="508" x14ac:dyDescent="0.35"/>
    <row r="509" x14ac:dyDescent="0.35"/>
    <row r="510" x14ac:dyDescent="0.35"/>
    <row r="511" x14ac:dyDescent="0.35"/>
    <row r="512" x14ac:dyDescent="0.35"/>
    <row r="513" x14ac:dyDescent="0.35"/>
    <row r="514" x14ac:dyDescent="0.35"/>
    <row r="515" x14ac:dyDescent="0.35"/>
    <row r="516" x14ac:dyDescent="0.35"/>
    <row r="517" x14ac:dyDescent="0.35"/>
    <row r="518" x14ac:dyDescent="0.35"/>
    <row r="519" x14ac:dyDescent="0.35"/>
    <row r="520" x14ac:dyDescent="0.35"/>
    <row r="521" x14ac:dyDescent="0.35"/>
    <row r="522" x14ac:dyDescent="0.35"/>
    <row r="523" x14ac:dyDescent="0.35"/>
    <row r="524" x14ac:dyDescent="0.35"/>
    <row r="525" x14ac:dyDescent="0.35"/>
    <row r="526" x14ac:dyDescent="0.35"/>
    <row r="527" x14ac:dyDescent="0.35"/>
    <row r="528" x14ac:dyDescent="0.35"/>
    <row r="529" x14ac:dyDescent="0.35"/>
    <row r="530" x14ac:dyDescent="0.35"/>
    <row r="531" x14ac:dyDescent="0.35"/>
    <row r="532" x14ac:dyDescent="0.35"/>
    <row r="533" x14ac:dyDescent="0.35"/>
    <row r="534" x14ac:dyDescent="0.35"/>
    <row r="535" x14ac:dyDescent="0.35"/>
    <row r="536" x14ac:dyDescent="0.35"/>
    <row r="537" x14ac:dyDescent="0.35"/>
    <row r="538" x14ac:dyDescent="0.35"/>
    <row r="539" x14ac:dyDescent="0.35"/>
    <row r="540" x14ac:dyDescent="0.35"/>
    <row r="541" x14ac:dyDescent="0.35"/>
    <row r="542" x14ac:dyDescent="0.35"/>
    <row r="543" x14ac:dyDescent="0.35"/>
    <row r="544" x14ac:dyDescent="0.35"/>
    <row r="545" x14ac:dyDescent="0.35"/>
    <row r="546" x14ac:dyDescent="0.35"/>
    <row r="547" x14ac:dyDescent="0.35"/>
    <row r="548" x14ac:dyDescent="0.35"/>
    <row r="549" x14ac:dyDescent="0.35"/>
    <row r="550" x14ac:dyDescent="0.35"/>
    <row r="551" x14ac:dyDescent="0.35"/>
    <row r="552" x14ac:dyDescent="0.35"/>
    <row r="553" x14ac:dyDescent="0.35"/>
    <row r="554" x14ac:dyDescent="0.35"/>
    <row r="555" x14ac:dyDescent="0.35"/>
    <row r="556" x14ac:dyDescent="0.35"/>
    <row r="557" x14ac:dyDescent="0.35"/>
    <row r="558" x14ac:dyDescent="0.35"/>
    <row r="559" x14ac:dyDescent="0.35"/>
    <row r="560" x14ac:dyDescent="0.35"/>
    <row r="561" x14ac:dyDescent="0.35"/>
    <row r="562" x14ac:dyDescent="0.35"/>
    <row r="563" x14ac:dyDescent="0.35"/>
    <row r="564" x14ac:dyDescent="0.35"/>
    <row r="565" x14ac:dyDescent="0.35"/>
    <row r="566" x14ac:dyDescent="0.35"/>
    <row r="567" x14ac:dyDescent="0.35"/>
    <row r="568" x14ac:dyDescent="0.35"/>
    <row r="569" x14ac:dyDescent="0.35"/>
    <row r="570" x14ac:dyDescent="0.35"/>
    <row r="571" x14ac:dyDescent="0.35"/>
    <row r="572" x14ac:dyDescent="0.35"/>
    <row r="573" x14ac:dyDescent="0.35"/>
    <row r="574" x14ac:dyDescent="0.35"/>
    <row r="575" x14ac:dyDescent="0.35"/>
    <row r="576" x14ac:dyDescent="0.35"/>
    <row r="577" x14ac:dyDescent="0.35"/>
    <row r="578" x14ac:dyDescent="0.35"/>
    <row r="579" x14ac:dyDescent="0.35"/>
    <row r="580" x14ac:dyDescent="0.35"/>
    <row r="581" x14ac:dyDescent="0.35"/>
    <row r="582" x14ac:dyDescent="0.35"/>
    <row r="583" x14ac:dyDescent="0.35"/>
    <row r="584" x14ac:dyDescent="0.35"/>
    <row r="585" x14ac:dyDescent="0.35"/>
    <row r="586" x14ac:dyDescent="0.35"/>
    <row r="587" x14ac:dyDescent="0.35"/>
    <row r="588" x14ac:dyDescent="0.35"/>
    <row r="589" x14ac:dyDescent="0.35"/>
    <row r="590" x14ac:dyDescent="0.35"/>
    <row r="591" x14ac:dyDescent="0.35"/>
    <row r="592" x14ac:dyDescent="0.35"/>
    <row r="593" x14ac:dyDescent="0.35"/>
    <row r="594" x14ac:dyDescent="0.35"/>
    <row r="595" x14ac:dyDescent="0.35"/>
    <row r="596" x14ac:dyDescent="0.35"/>
    <row r="597" x14ac:dyDescent="0.35"/>
    <row r="598" x14ac:dyDescent="0.35"/>
    <row r="599" x14ac:dyDescent="0.35"/>
    <row r="600" x14ac:dyDescent="0.35"/>
    <row r="601" x14ac:dyDescent="0.35"/>
    <row r="602" x14ac:dyDescent="0.35"/>
    <row r="603" x14ac:dyDescent="0.35"/>
    <row r="604" x14ac:dyDescent="0.35"/>
    <row r="605" x14ac:dyDescent="0.35"/>
    <row r="606" x14ac:dyDescent="0.35"/>
    <row r="607" x14ac:dyDescent="0.35"/>
    <row r="608" x14ac:dyDescent="0.35"/>
    <row r="609" x14ac:dyDescent="0.35"/>
    <row r="610" x14ac:dyDescent="0.35"/>
    <row r="611" x14ac:dyDescent="0.35"/>
    <row r="612" x14ac:dyDescent="0.35"/>
    <row r="613" x14ac:dyDescent="0.35"/>
    <row r="614" x14ac:dyDescent="0.35"/>
    <row r="615" x14ac:dyDescent="0.35"/>
    <row r="616" x14ac:dyDescent="0.35"/>
    <row r="617" x14ac:dyDescent="0.35"/>
    <row r="618" x14ac:dyDescent="0.35"/>
    <row r="619" x14ac:dyDescent="0.35"/>
    <row r="620" x14ac:dyDescent="0.35"/>
    <row r="621" x14ac:dyDescent="0.35"/>
    <row r="622" x14ac:dyDescent="0.35"/>
    <row r="623" x14ac:dyDescent="0.35"/>
    <row r="624" x14ac:dyDescent="0.35"/>
    <row r="625" x14ac:dyDescent="0.35"/>
    <row r="626" x14ac:dyDescent="0.35"/>
    <row r="627" x14ac:dyDescent="0.35"/>
    <row r="628" x14ac:dyDescent="0.35"/>
    <row r="629" x14ac:dyDescent="0.35"/>
    <row r="630" x14ac:dyDescent="0.35"/>
    <row r="631" x14ac:dyDescent="0.35"/>
    <row r="632" x14ac:dyDescent="0.35"/>
    <row r="633" x14ac:dyDescent="0.35"/>
    <row r="634" x14ac:dyDescent="0.35"/>
    <row r="635" x14ac:dyDescent="0.35"/>
    <row r="636" x14ac:dyDescent="0.35"/>
    <row r="637" x14ac:dyDescent="0.35"/>
    <row r="638" x14ac:dyDescent="0.35"/>
    <row r="639" x14ac:dyDescent="0.35"/>
    <row r="640" x14ac:dyDescent="0.35"/>
    <row r="641" x14ac:dyDescent="0.35"/>
    <row r="642" x14ac:dyDescent="0.35"/>
    <row r="643" x14ac:dyDescent="0.35"/>
    <row r="644" x14ac:dyDescent="0.35"/>
    <row r="645" x14ac:dyDescent="0.35"/>
    <row r="646" x14ac:dyDescent="0.35"/>
    <row r="647" x14ac:dyDescent="0.35"/>
    <row r="648" x14ac:dyDescent="0.35"/>
    <row r="649" x14ac:dyDescent="0.35"/>
    <row r="650" x14ac:dyDescent="0.35"/>
    <row r="651" x14ac:dyDescent="0.35"/>
    <row r="652" x14ac:dyDescent="0.35"/>
    <row r="653" x14ac:dyDescent="0.35"/>
    <row r="654" x14ac:dyDescent="0.35"/>
    <row r="655" x14ac:dyDescent="0.35"/>
    <row r="656" x14ac:dyDescent="0.35"/>
    <row r="657" x14ac:dyDescent="0.35"/>
    <row r="658" x14ac:dyDescent="0.35"/>
    <row r="659" x14ac:dyDescent="0.35"/>
    <row r="660" x14ac:dyDescent="0.35"/>
    <row r="661" x14ac:dyDescent="0.35"/>
    <row r="662" x14ac:dyDescent="0.35"/>
    <row r="663" x14ac:dyDescent="0.35"/>
    <row r="664" x14ac:dyDescent="0.35"/>
    <row r="665" x14ac:dyDescent="0.35"/>
    <row r="666" x14ac:dyDescent="0.35"/>
    <row r="667" x14ac:dyDescent="0.35"/>
    <row r="668" x14ac:dyDescent="0.35"/>
    <row r="669" x14ac:dyDescent="0.35"/>
    <row r="670" x14ac:dyDescent="0.35"/>
    <row r="671" x14ac:dyDescent="0.35"/>
    <row r="672" x14ac:dyDescent="0.35"/>
    <row r="673" x14ac:dyDescent="0.35"/>
    <row r="674" x14ac:dyDescent="0.35"/>
    <row r="675" x14ac:dyDescent="0.35"/>
    <row r="676" x14ac:dyDescent="0.35"/>
    <row r="677" x14ac:dyDescent="0.35"/>
    <row r="678" x14ac:dyDescent="0.35"/>
    <row r="679" x14ac:dyDescent="0.35"/>
    <row r="680" x14ac:dyDescent="0.35"/>
    <row r="681" x14ac:dyDescent="0.35"/>
    <row r="682" x14ac:dyDescent="0.35"/>
    <row r="683" x14ac:dyDescent="0.35"/>
    <row r="684" x14ac:dyDescent="0.35"/>
    <row r="685" x14ac:dyDescent="0.35"/>
    <row r="686" x14ac:dyDescent="0.35"/>
    <row r="687" x14ac:dyDescent="0.35"/>
    <row r="688" x14ac:dyDescent="0.35"/>
    <row r="689" x14ac:dyDescent="0.35"/>
    <row r="690" x14ac:dyDescent="0.35"/>
    <row r="691" x14ac:dyDescent="0.35"/>
    <row r="692" x14ac:dyDescent="0.35"/>
    <row r="693" x14ac:dyDescent="0.35"/>
    <row r="694" x14ac:dyDescent="0.35"/>
    <row r="695" x14ac:dyDescent="0.35"/>
    <row r="696" x14ac:dyDescent="0.35"/>
    <row r="697" x14ac:dyDescent="0.35"/>
    <row r="698" x14ac:dyDescent="0.35"/>
    <row r="699" x14ac:dyDescent="0.35"/>
    <row r="700" x14ac:dyDescent="0.35"/>
    <row r="701" x14ac:dyDescent="0.35"/>
    <row r="702" x14ac:dyDescent="0.35"/>
    <row r="703" x14ac:dyDescent="0.35"/>
    <row r="704" x14ac:dyDescent="0.35"/>
    <row r="705" x14ac:dyDescent="0.35"/>
    <row r="706" x14ac:dyDescent="0.35"/>
    <row r="707" x14ac:dyDescent="0.35"/>
    <row r="708" x14ac:dyDescent="0.35"/>
    <row r="709" x14ac:dyDescent="0.35"/>
    <row r="710" x14ac:dyDescent="0.35"/>
    <row r="711" x14ac:dyDescent="0.35"/>
    <row r="712" x14ac:dyDescent="0.35"/>
    <row r="713" x14ac:dyDescent="0.35"/>
    <row r="714" x14ac:dyDescent="0.35"/>
    <row r="715" x14ac:dyDescent="0.35"/>
    <row r="716" x14ac:dyDescent="0.35"/>
    <row r="717" x14ac:dyDescent="0.35"/>
    <row r="718" x14ac:dyDescent="0.35"/>
    <row r="719" x14ac:dyDescent="0.35"/>
    <row r="720" x14ac:dyDescent="0.35"/>
    <row r="721" x14ac:dyDescent="0.35"/>
    <row r="722" x14ac:dyDescent="0.35"/>
    <row r="723" x14ac:dyDescent="0.35"/>
    <row r="724" x14ac:dyDescent="0.35"/>
    <row r="725" x14ac:dyDescent="0.35"/>
    <row r="726" x14ac:dyDescent="0.35"/>
    <row r="727" x14ac:dyDescent="0.35"/>
    <row r="728" x14ac:dyDescent="0.35"/>
    <row r="729" x14ac:dyDescent="0.35"/>
    <row r="730" x14ac:dyDescent="0.35"/>
    <row r="731" x14ac:dyDescent="0.35"/>
    <row r="732" x14ac:dyDescent="0.35"/>
    <row r="733" x14ac:dyDescent="0.35"/>
    <row r="734" x14ac:dyDescent="0.35"/>
    <row r="735" x14ac:dyDescent="0.35"/>
    <row r="736" x14ac:dyDescent="0.35"/>
    <row r="737" x14ac:dyDescent="0.35"/>
    <row r="738" x14ac:dyDescent="0.35"/>
    <row r="739" x14ac:dyDescent="0.35"/>
    <row r="740" x14ac:dyDescent="0.35"/>
    <row r="741" x14ac:dyDescent="0.35"/>
    <row r="742" x14ac:dyDescent="0.35"/>
    <row r="743" x14ac:dyDescent="0.35"/>
    <row r="744" x14ac:dyDescent="0.35"/>
    <row r="745" x14ac:dyDescent="0.35"/>
    <row r="746" x14ac:dyDescent="0.35"/>
    <row r="747" x14ac:dyDescent="0.35"/>
    <row r="748" x14ac:dyDescent="0.35"/>
    <row r="749" x14ac:dyDescent="0.35"/>
    <row r="750" x14ac:dyDescent="0.35"/>
    <row r="751" x14ac:dyDescent="0.35"/>
    <row r="752" x14ac:dyDescent="0.35"/>
    <row r="753" x14ac:dyDescent="0.35"/>
    <row r="754" x14ac:dyDescent="0.35"/>
    <row r="755" x14ac:dyDescent="0.35"/>
    <row r="756" x14ac:dyDescent="0.35"/>
    <row r="757" x14ac:dyDescent="0.35"/>
    <row r="758" x14ac:dyDescent="0.35"/>
    <row r="759" x14ac:dyDescent="0.35"/>
    <row r="760" x14ac:dyDescent="0.35"/>
    <row r="761" x14ac:dyDescent="0.35"/>
    <row r="762" x14ac:dyDescent="0.35"/>
    <row r="763" x14ac:dyDescent="0.35"/>
    <row r="764" x14ac:dyDescent="0.35"/>
    <row r="765" x14ac:dyDescent="0.35"/>
    <row r="766" x14ac:dyDescent="0.35"/>
    <row r="767" x14ac:dyDescent="0.35"/>
    <row r="768" x14ac:dyDescent="0.35"/>
    <row r="769" x14ac:dyDescent="0.35"/>
    <row r="770" x14ac:dyDescent="0.35"/>
    <row r="771" x14ac:dyDescent="0.35"/>
    <row r="772" x14ac:dyDescent="0.35"/>
    <row r="773" x14ac:dyDescent="0.35"/>
    <row r="774" x14ac:dyDescent="0.35"/>
    <row r="775" x14ac:dyDescent="0.35"/>
    <row r="776" x14ac:dyDescent="0.35"/>
    <row r="777" x14ac:dyDescent="0.35"/>
    <row r="778" x14ac:dyDescent="0.35"/>
    <row r="779" x14ac:dyDescent="0.35"/>
    <row r="780" x14ac:dyDescent="0.35"/>
    <row r="781" x14ac:dyDescent="0.35"/>
    <row r="782" x14ac:dyDescent="0.35"/>
    <row r="783" x14ac:dyDescent="0.35"/>
    <row r="784" x14ac:dyDescent="0.35"/>
    <row r="785" x14ac:dyDescent="0.35"/>
    <row r="786" x14ac:dyDescent="0.35"/>
    <row r="787" x14ac:dyDescent="0.35"/>
    <row r="788" x14ac:dyDescent="0.35"/>
    <row r="789" x14ac:dyDescent="0.35"/>
    <row r="790" x14ac:dyDescent="0.35"/>
    <row r="791" x14ac:dyDescent="0.35"/>
    <row r="792" x14ac:dyDescent="0.35"/>
    <row r="793" x14ac:dyDescent="0.35"/>
    <row r="794" x14ac:dyDescent="0.35"/>
    <row r="795" x14ac:dyDescent="0.35"/>
    <row r="796" x14ac:dyDescent="0.35"/>
    <row r="797" x14ac:dyDescent="0.35"/>
    <row r="798" x14ac:dyDescent="0.35"/>
    <row r="799" x14ac:dyDescent="0.35"/>
    <row r="800" x14ac:dyDescent="0.35"/>
    <row r="801" x14ac:dyDescent="0.35"/>
    <row r="802" x14ac:dyDescent="0.35"/>
    <row r="803" x14ac:dyDescent="0.35"/>
    <row r="804" x14ac:dyDescent="0.35"/>
    <row r="805" x14ac:dyDescent="0.35"/>
    <row r="806" x14ac:dyDescent="0.35"/>
    <row r="807" x14ac:dyDescent="0.35"/>
    <row r="808" x14ac:dyDescent="0.35"/>
    <row r="809" x14ac:dyDescent="0.35"/>
    <row r="810" x14ac:dyDescent="0.35"/>
    <row r="811" x14ac:dyDescent="0.35"/>
    <row r="812" x14ac:dyDescent="0.35"/>
    <row r="813" x14ac:dyDescent="0.35"/>
    <row r="814" x14ac:dyDescent="0.35"/>
    <row r="815" x14ac:dyDescent="0.35"/>
    <row r="816" x14ac:dyDescent="0.35"/>
    <row r="817" x14ac:dyDescent="0.35"/>
    <row r="818" x14ac:dyDescent="0.35"/>
    <row r="819" x14ac:dyDescent="0.35"/>
    <row r="820" x14ac:dyDescent="0.35"/>
    <row r="821" x14ac:dyDescent="0.35"/>
    <row r="822" x14ac:dyDescent="0.35"/>
    <row r="823" x14ac:dyDescent="0.35"/>
    <row r="824" x14ac:dyDescent="0.35"/>
    <row r="825" x14ac:dyDescent="0.35"/>
    <row r="826" x14ac:dyDescent="0.35"/>
    <row r="827" x14ac:dyDescent="0.35"/>
    <row r="828" x14ac:dyDescent="0.35"/>
    <row r="829" x14ac:dyDescent="0.35"/>
    <row r="830" x14ac:dyDescent="0.35"/>
    <row r="831" x14ac:dyDescent="0.35"/>
    <row r="832" x14ac:dyDescent="0.35"/>
    <row r="833" x14ac:dyDescent="0.35"/>
    <row r="834" x14ac:dyDescent="0.35"/>
    <row r="835" x14ac:dyDescent="0.35"/>
    <row r="836" x14ac:dyDescent="0.35"/>
    <row r="837" x14ac:dyDescent="0.35"/>
    <row r="838" x14ac:dyDescent="0.35"/>
    <row r="839" x14ac:dyDescent="0.35"/>
    <row r="840" x14ac:dyDescent="0.35"/>
    <row r="841" x14ac:dyDescent="0.35"/>
    <row r="842" x14ac:dyDescent="0.35"/>
    <row r="843" x14ac:dyDescent="0.35"/>
    <row r="844" x14ac:dyDescent="0.35"/>
    <row r="845" x14ac:dyDescent="0.35"/>
    <row r="846" x14ac:dyDescent="0.35"/>
    <row r="847" x14ac:dyDescent="0.35"/>
    <row r="848" x14ac:dyDescent="0.35"/>
    <row r="849" x14ac:dyDescent="0.35"/>
    <row r="850" x14ac:dyDescent="0.35"/>
    <row r="851" x14ac:dyDescent="0.35"/>
    <row r="852" x14ac:dyDescent="0.35"/>
    <row r="853" x14ac:dyDescent="0.35"/>
    <row r="854" x14ac:dyDescent="0.35"/>
    <row r="855" x14ac:dyDescent="0.35"/>
    <row r="856" x14ac:dyDescent="0.35"/>
    <row r="857" x14ac:dyDescent="0.35"/>
    <row r="858" x14ac:dyDescent="0.35"/>
    <row r="859" x14ac:dyDescent="0.35"/>
    <row r="860" x14ac:dyDescent="0.35"/>
    <row r="861" x14ac:dyDescent="0.35"/>
    <row r="862" x14ac:dyDescent="0.35"/>
    <row r="863" x14ac:dyDescent="0.35"/>
    <row r="864" x14ac:dyDescent="0.35"/>
    <row r="865" x14ac:dyDescent="0.35"/>
    <row r="866" x14ac:dyDescent="0.35"/>
    <row r="867" x14ac:dyDescent="0.35"/>
    <row r="868" x14ac:dyDescent="0.35"/>
    <row r="869" x14ac:dyDescent="0.35"/>
    <row r="870" x14ac:dyDescent="0.35"/>
    <row r="871" x14ac:dyDescent="0.35"/>
    <row r="872" x14ac:dyDescent="0.35"/>
    <row r="873" x14ac:dyDescent="0.35"/>
    <row r="874" x14ac:dyDescent="0.35"/>
    <row r="875" x14ac:dyDescent="0.35"/>
    <row r="876" x14ac:dyDescent="0.35"/>
    <row r="877" x14ac:dyDescent="0.35"/>
    <row r="878" x14ac:dyDescent="0.35"/>
    <row r="879" x14ac:dyDescent="0.35"/>
    <row r="880" x14ac:dyDescent="0.35"/>
    <row r="881" x14ac:dyDescent="0.35"/>
    <row r="882" x14ac:dyDescent="0.35"/>
    <row r="883" x14ac:dyDescent="0.35"/>
    <row r="884" x14ac:dyDescent="0.35"/>
    <row r="885" x14ac:dyDescent="0.35"/>
    <row r="886" x14ac:dyDescent="0.35"/>
    <row r="887" x14ac:dyDescent="0.35"/>
    <row r="888" x14ac:dyDescent="0.35"/>
    <row r="889" x14ac:dyDescent="0.35"/>
    <row r="890" x14ac:dyDescent="0.35"/>
    <row r="891" x14ac:dyDescent="0.35"/>
    <row r="892" x14ac:dyDescent="0.35"/>
    <row r="893" x14ac:dyDescent="0.35"/>
    <row r="894" x14ac:dyDescent="0.35"/>
    <row r="895" x14ac:dyDescent="0.35"/>
    <row r="896" x14ac:dyDescent="0.35"/>
    <row r="897" x14ac:dyDescent="0.35"/>
    <row r="898" x14ac:dyDescent="0.35"/>
    <row r="899" x14ac:dyDescent="0.35"/>
    <row r="900" x14ac:dyDescent="0.35"/>
    <row r="901" x14ac:dyDescent="0.35"/>
    <row r="902" x14ac:dyDescent="0.35"/>
    <row r="903" x14ac:dyDescent="0.35"/>
    <row r="904" x14ac:dyDescent="0.35"/>
    <row r="905" x14ac:dyDescent="0.35"/>
    <row r="906" x14ac:dyDescent="0.35"/>
    <row r="907" x14ac:dyDescent="0.35"/>
    <row r="908" x14ac:dyDescent="0.35"/>
    <row r="909" x14ac:dyDescent="0.35"/>
    <row r="910" x14ac:dyDescent="0.35"/>
    <row r="911" x14ac:dyDescent="0.35"/>
    <row r="912" x14ac:dyDescent="0.35"/>
    <row r="913" x14ac:dyDescent="0.35"/>
    <row r="914" x14ac:dyDescent="0.35"/>
    <row r="915" x14ac:dyDescent="0.35"/>
    <row r="916" x14ac:dyDescent="0.35"/>
    <row r="917" x14ac:dyDescent="0.35"/>
    <row r="918" x14ac:dyDescent="0.35"/>
    <row r="919" x14ac:dyDescent="0.35"/>
    <row r="920" x14ac:dyDescent="0.35"/>
    <row r="921" x14ac:dyDescent="0.35"/>
    <row r="922" x14ac:dyDescent="0.35"/>
    <row r="923" x14ac:dyDescent="0.35"/>
    <row r="924" x14ac:dyDescent="0.35"/>
    <row r="925" x14ac:dyDescent="0.35"/>
    <row r="926" x14ac:dyDescent="0.35"/>
    <row r="927" x14ac:dyDescent="0.35"/>
    <row r="928" x14ac:dyDescent="0.35"/>
    <row r="929" x14ac:dyDescent="0.35"/>
    <row r="930" x14ac:dyDescent="0.35"/>
    <row r="931" x14ac:dyDescent="0.35"/>
    <row r="932" x14ac:dyDescent="0.35"/>
    <row r="933" x14ac:dyDescent="0.35"/>
    <row r="934" x14ac:dyDescent="0.35"/>
    <row r="935" x14ac:dyDescent="0.35"/>
    <row r="936" x14ac:dyDescent="0.35"/>
    <row r="937" x14ac:dyDescent="0.35"/>
    <row r="938" x14ac:dyDescent="0.35"/>
    <row r="939" x14ac:dyDescent="0.35"/>
    <row r="940" x14ac:dyDescent="0.35"/>
    <row r="941" x14ac:dyDescent="0.35"/>
    <row r="942" x14ac:dyDescent="0.35"/>
    <row r="943" x14ac:dyDescent="0.35"/>
    <row r="944" x14ac:dyDescent="0.35"/>
    <row r="945" x14ac:dyDescent="0.35"/>
    <row r="946" x14ac:dyDescent="0.35"/>
    <row r="947" x14ac:dyDescent="0.35"/>
    <row r="948" x14ac:dyDescent="0.35"/>
    <row r="949" x14ac:dyDescent="0.35"/>
    <row r="950" x14ac:dyDescent="0.35"/>
    <row r="951" x14ac:dyDescent="0.35"/>
    <row r="952" x14ac:dyDescent="0.35"/>
    <row r="953" x14ac:dyDescent="0.35"/>
    <row r="954" x14ac:dyDescent="0.35"/>
    <row r="955" x14ac:dyDescent="0.35"/>
    <row r="956" x14ac:dyDescent="0.35"/>
    <row r="957" x14ac:dyDescent="0.35"/>
    <row r="958" x14ac:dyDescent="0.35"/>
    <row r="959" x14ac:dyDescent="0.35"/>
    <row r="960" x14ac:dyDescent="0.35"/>
    <row r="961" x14ac:dyDescent="0.35"/>
    <row r="962" x14ac:dyDescent="0.35"/>
    <row r="963" x14ac:dyDescent="0.35"/>
    <row r="964" x14ac:dyDescent="0.35"/>
    <row r="965" x14ac:dyDescent="0.35"/>
    <row r="966" x14ac:dyDescent="0.35"/>
    <row r="967" x14ac:dyDescent="0.35"/>
    <row r="968" x14ac:dyDescent="0.35"/>
    <row r="969" x14ac:dyDescent="0.35"/>
    <row r="970" x14ac:dyDescent="0.35"/>
    <row r="971" x14ac:dyDescent="0.35"/>
    <row r="972" x14ac:dyDescent="0.35"/>
    <row r="973" x14ac:dyDescent="0.35"/>
    <row r="974" x14ac:dyDescent="0.35"/>
    <row r="975" x14ac:dyDescent="0.35"/>
    <row r="976" x14ac:dyDescent="0.35"/>
    <row r="977" x14ac:dyDescent="0.35"/>
    <row r="978" x14ac:dyDescent="0.35"/>
    <row r="979" x14ac:dyDescent="0.35"/>
    <row r="980" x14ac:dyDescent="0.35"/>
    <row r="981" x14ac:dyDescent="0.35"/>
    <row r="982" x14ac:dyDescent="0.35"/>
    <row r="983" x14ac:dyDescent="0.35"/>
    <row r="984" x14ac:dyDescent="0.35"/>
    <row r="985" x14ac:dyDescent="0.35"/>
    <row r="986" x14ac:dyDescent="0.35"/>
    <row r="987" x14ac:dyDescent="0.35"/>
    <row r="988" x14ac:dyDescent="0.35"/>
    <row r="989" x14ac:dyDescent="0.35"/>
    <row r="990" x14ac:dyDescent="0.35"/>
    <row r="991" x14ac:dyDescent="0.35"/>
    <row r="992" x14ac:dyDescent="0.35"/>
    <row r="993" x14ac:dyDescent="0.35"/>
    <row r="994" x14ac:dyDescent="0.35"/>
    <row r="995" x14ac:dyDescent="0.35"/>
    <row r="996" x14ac:dyDescent="0.35"/>
    <row r="997" x14ac:dyDescent="0.35"/>
    <row r="998" x14ac:dyDescent="0.35"/>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'DATA MAESTRA'!$B$2:$B$23</xm:f>
          </x14:formula1>
          <xm:sqref>O2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
  <sheetViews>
    <sheetView workbookViewId="0"/>
  </sheetViews>
  <sheetFormatPr baseColWidth="10" defaultColWidth="14.453125" defaultRowHeight="15" customHeight="1" x14ac:dyDescent="0.35"/>
  <cols>
    <col min="1" max="1" width="16" customWidth="1"/>
    <col min="12" max="12" width="35.54296875" customWidth="1"/>
  </cols>
  <sheetData>
    <row r="1" spans="1:12" x14ac:dyDescent="0.35">
      <c r="A1" s="32" t="s">
        <v>0</v>
      </c>
      <c r="B1" s="33" t="s">
        <v>89</v>
      </c>
      <c r="C1" s="34" t="s">
        <v>75</v>
      </c>
      <c r="D1" s="33" t="s">
        <v>90</v>
      </c>
      <c r="E1" s="35" t="s">
        <v>91</v>
      </c>
      <c r="F1" s="36" t="s">
        <v>92</v>
      </c>
      <c r="G1" s="36" t="s">
        <v>93</v>
      </c>
      <c r="H1" s="36" t="s">
        <v>94</v>
      </c>
      <c r="I1" s="36" t="s">
        <v>95</v>
      </c>
      <c r="J1" s="36" t="s">
        <v>96</v>
      </c>
      <c r="K1" s="36" t="s">
        <v>90</v>
      </c>
      <c r="L1" s="36" t="s">
        <v>97</v>
      </c>
    </row>
    <row r="2" spans="1:12" x14ac:dyDescent="0.35">
      <c r="A2" s="37" t="s">
        <v>98</v>
      </c>
      <c r="B2" s="38">
        <v>46308</v>
      </c>
      <c r="C2" s="39" t="s">
        <v>86</v>
      </c>
      <c r="D2" s="37" t="s">
        <v>99</v>
      </c>
      <c r="E2" s="37">
        <v>43</v>
      </c>
      <c r="F2" s="37" t="s">
        <v>42</v>
      </c>
      <c r="G2" s="37">
        <v>1</v>
      </c>
      <c r="H2" s="37">
        <v>1233</v>
      </c>
      <c r="I2" s="37">
        <v>200</v>
      </c>
      <c r="J2" s="37"/>
      <c r="K2" s="37" t="s">
        <v>100</v>
      </c>
      <c r="L2" s="40">
        <v>296722</v>
      </c>
    </row>
    <row r="3" spans="1:12" x14ac:dyDescent="0.35">
      <c r="A3" s="41" t="s">
        <v>98</v>
      </c>
      <c r="B3" s="18">
        <v>46308</v>
      </c>
      <c r="C3" s="42" t="s">
        <v>86</v>
      </c>
      <c r="D3" s="41" t="s">
        <v>99</v>
      </c>
      <c r="E3" s="41">
        <v>43</v>
      </c>
      <c r="F3" s="41" t="s">
        <v>42</v>
      </c>
      <c r="G3" s="41">
        <v>1</v>
      </c>
      <c r="H3" s="41">
        <v>1231</v>
      </c>
      <c r="J3" s="41">
        <v>200</v>
      </c>
      <c r="K3" s="41" t="s">
        <v>101</v>
      </c>
      <c r="L3" s="17">
        <v>296722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
  <sheetViews>
    <sheetView workbookViewId="0"/>
  </sheetViews>
  <sheetFormatPr baseColWidth="10" defaultColWidth="14.453125" defaultRowHeight="15" customHeight="1" x14ac:dyDescent="0.35"/>
  <cols>
    <col min="1" max="11" width="21" customWidth="1"/>
    <col min="12" max="12" width="29.453125" customWidth="1"/>
    <col min="13" max="24" width="21" customWidth="1"/>
  </cols>
  <sheetData>
    <row r="1" spans="1:23" ht="29" x14ac:dyDescent="0.35">
      <c r="A1" s="1" t="s">
        <v>0</v>
      </c>
      <c r="B1" s="2" t="s">
        <v>102</v>
      </c>
      <c r="C1" s="2" t="s">
        <v>2</v>
      </c>
      <c r="D1" s="2" t="s">
        <v>3</v>
      </c>
      <c r="E1" s="2" t="s">
        <v>4</v>
      </c>
      <c r="F1" s="2" t="s">
        <v>5</v>
      </c>
      <c r="G1" s="2" t="s">
        <v>6</v>
      </c>
      <c r="H1" s="2" t="s">
        <v>8</v>
      </c>
      <c r="I1" s="2" t="s">
        <v>103</v>
      </c>
      <c r="J1" s="43" t="s">
        <v>10</v>
      </c>
      <c r="K1" s="44" t="s">
        <v>104</v>
      </c>
      <c r="L1" s="44" t="s">
        <v>11</v>
      </c>
      <c r="M1" s="11" t="s">
        <v>105</v>
      </c>
      <c r="N1" s="12" t="s">
        <v>23</v>
      </c>
      <c r="O1" s="13" t="s">
        <v>25</v>
      </c>
      <c r="P1" s="45" t="s">
        <v>106</v>
      </c>
      <c r="Q1" s="13" t="s">
        <v>24</v>
      </c>
      <c r="R1" s="13" t="s">
        <v>26</v>
      </c>
      <c r="S1" s="13" t="s">
        <v>27</v>
      </c>
      <c r="T1" s="13" t="s">
        <v>28</v>
      </c>
      <c r="U1" s="13" t="s">
        <v>29</v>
      </c>
      <c r="V1" s="13" t="s">
        <v>30</v>
      </c>
      <c r="W1" s="13" t="s">
        <v>31</v>
      </c>
    </row>
    <row r="2" spans="1:23" ht="42.75" customHeight="1" x14ac:dyDescent="0.35">
      <c r="A2" s="17" t="s">
        <v>107</v>
      </c>
      <c r="B2" s="17">
        <v>296722</v>
      </c>
      <c r="C2" s="17">
        <v>119</v>
      </c>
      <c r="D2" s="17" t="s">
        <v>42</v>
      </c>
      <c r="E2" s="18">
        <v>46304</v>
      </c>
      <c r="F2" s="17" t="s">
        <v>43</v>
      </c>
      <c r="G2" s="17">
        <v>43</v>
      </c>
      <c r="H2" s="17" t="s">
        <v>45</v>
      </c>
      <c r="I2" s="17" t="s">
        <v>108</v>
      </c>
      <c r="J2" s="19" t="s">
        <v>109</v>
      </c>
      <c r="K2" s="17" t="s">
        <v>110</v>
      </c>
      <c r="L2" s="17" t="s">
        <v>48</v>
      </c>
      <c r="M2" s="46"/>
      <c r="N2" s="17" t="s">
        <v>52</v>
      </c>
      <c r="O2" s="17" t="s">
        <v>53</v>
      </c>
      <c r="P2" s="17" t="s">
        <v>111</v>
      </c>
      <c r="Q2" s="17">
        <v>1</v>
      </c>
      <c r="R2" s="21">
        <v>800</v>
      </c>
      <c r="S2" s="21">
        <f>Q2*R2</f>
        <v>800</v>
      </c>
      <c r="T2" s="17" t="s">
        <v>54</v>
      </c>
      <c r="U2" s="17" t="s">
        <v>55</v>
      </c>
      <c r="V2" s="17" t="s">
        <v>56</v>
      </c>
      <c r="W2" s="17" t="s">
        <v>43</v>
      </c>
    </row>
  </sheetData>
  <dataValidations count="2">
    <dataValidation type="list" allowBlank="1" showErrorMessage="1" sqref="T2" xr:uid="{00000000-0002-0000-0300-000000000000}">
      <formula1>"VAT_PE:S-PE,VAT_PE:E-PE,VAT_PE:X-PE"</formula1>
    </dataValidation>
    <dataValidation type="list" allowBlank="1" showErrorMessage="1" sqref="K2" xr:uid="{00000000-0002-0000-0300-000001000000}">
      <formula1>"Contado,Credito"</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2000000}">
          <x14:formula1>
            <xm:f>'DATA MAESTRA'!$B$2:$B$23</xm:f>
          </x14:formula1>
          <xm:sqref>L2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2"/>
  <sheetViews>
    <sheetView workbookViewId="0"/>
  </sheetViews>
  <sheetFormatPr baseColWidth="10" defaultColWidth="14.453125" defaultRowHeight="15" customHeight="1" x14ac:dyDescent="0.35"/>
  <cols>
    <col min="1" max="11" width="21" customWidth="1"/>
    <col min="12" max="13" width="29.453125" customWidth="1"/>
    <col min="14" max="29" width="21" customWidth="1"/>
  </cols>
  <sheetData>
    <row r="1" spans="1:29" ht="29" x14ac:dyDescent="0.35">
      <c r="A1" s="1" t="s">
        <v>0</v>
      </c>
      <c r="B1" s="2" t="s">
        <v>102</v>
      </c>
      <c r="C1" s="2" t="s">
        <v>2</v>
      </c>
      <c r="D1" s="2" t="s">
        <v>3</v>
      </c>
      <c r="E1" s="2" t="s">
        <v>4</v>
      </c>
      <c r="F1" s="2" t="s">
        <v>5</v>
      </c>
      <c r="G1" s="2" t="s">
        <v>6</v>
      </c>
      <c r="H1" s="2" t="s">
        <v>8</v>
      </c>
      <c r="I1" s="2" t="s">
        <v>103</v>
      </c>
      <c r="J1" s="43" t="s">
        <v>10</v>
      </c>
      <c r="K1" s="44" t="s">
        <v>104</v>
      </c>
      <c r="L1" s="44" t="s">
        <v>11</v>
      </c>
      <c r="M1" s="44" t="s">
        <v>112</v>
      </c>
      <c r="N1" s="47" t="s">
        <v>21</v>
      </c>
      <c r="O1" s="47" t="s">
        <v>113</v>
      </c>
      <c r="P1" s="48" t="s">
        <v>22</v>
      </c>
      <c r="Q1" s="47" t="s">
        <v>20</v>
      </c>
      <c r="R1" s="12" t="s">
        <v>23</v>
      </c>
      <c r="S1" s="13" t="s">
        <v>25</v>
      </c>
      <c r="T1" s="45" t="s">
        <v>106</v>
      </c>
      <c r="U1" s="13" t="s">
        <v>24</v>
      </c>
      <c r="V1" s="13" t="s">
        <v>26</v>
      </c>
      <c r="W1" s="13" t="s">
        <v>27</v>
      </c>
      <c r="X1" s="13" t="s">
        <v>28</v>
      </c>
      <c r="Y1" s="13" t="s">
        <v>29</v>
      </c>
      <c r="Z1" s="13" t="s">
        <v>30</v>
      </c>
      <c r="AA1" s="13" t="s">
        <v>31</v>
      </c>
      <c r="AB1" s="49" t="s">
        <v>114</v>
      </c>
      <c r="AC1" s="49" t="s">
        <v>115</v>
      </c>
    </row>
    <row r="2" spans="1:29" ht="42.75" customHeight="1" x14ac:dyDescent="0.35">
      <c r="A2" s="17" t="s">
        <v>116</v>
      </c>
      <c r="B2" s="17">
        <v>296722</v>
      </c>
      <c r="C2" s="17">
        <v>119</v>
      </c>
      <c r="D2" s="17" t="s">
        <v>42</v>
      </c>
      <c r="E2" s="18">
        <v>46302</v>
      </c>
      <c r="F2" s="17" t="s">
        <v>43</v>
      </c>
      <c r="G2" s="17">
        <v>43</v>
      </c>
      <c r="H2" s="17" t="s">
        <v>117</v>
      </c>
      <c r="I2" s="17" t="s">
        <v>108</v>
      </c>
      <c r="J2" s="19" t="s">
        <v>109</v>
      </c>
      <c r="K2" s="17" t="s">
        <v>110</v>
      </c>
      <c r="L2" s="17" t="s">
        <v>48</v>
      </c>
      <c r="M2" s="46" t="s">
        <v>118</v>
      </c>
      <c r="N2" s="17" t="s">
        <v>45</v>
      </c>
      <c r="O2" s="17" t="s">
        <v>108</v>
      </c>
      <c r="P2" s="19" t="s">
        <v>109</v>
      </c>
      <c r="Q2" s="18">
        <v>46302</v>
      </c>
      <c r="R2" s="17" t="s">
        <v>52</v>
      </c>
      <c r="S2" s="17" t="s">
        <v>53</v>
      </c>
      <c r="T2" s="17" t="s">
        <v>111</v>
      </c>
      <c r="U2" s="17">
        <v>1</v>
      </c>
      <c r="V2" s="21">
        <v>105</v>
      </c>
      <c r="W2" s="21">
        <f>U2*V2</f>
        <v>105</v>
      </c>
      <c r="X2" s="17" t="s">
        <v>54</v>
      </c>
      <c r="Y2" s="17" t="s">
        <v>55</v>
      </c>
      <c r="Z2" s="17" t="s">
        <v>56</v>
      </c>
      <c r="AA2" s="17" t="s">
        <v>43</v>
      </c>
      <c r="AB2" s="50">
        <v>25114924</v>
      </c>
      <c r="AC2" s="51">
        <f>W2</f>
        <v>105</v>
      </c>
    </row>
  </sheetData>
  <dataValidations count="2">
    <dataValidation type="list" allowBlank="1" showErrorMessage="1" sqref="X2" xr:uid="{00000000-0002-0000-0400-000000000000}">
      <formula1>"VAT_PE:S-PE,VAT_PE:E-PE,VAT_PE:X-PE"</formula1>
    </dataValidation>
    <dataValidation type="list" allowBlank="1" showErrorMessage="1" sqref="K2" xr:uid="{00000000-0002-0000-0400-000001000000}">
      <formula1>"Contado,Credito"</formula1>
    </dataValidation>
  </dataValidations>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400-000002000000}">
          <x14:formula1>
            <xm:f>'DATA MAESTRA'!$B$2:$B$23</xm:f>
          </x14:formula1>
          <xm:sqref>L2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3"/>
  <sheetViews>
    <sheetView tabSelected="1" workbookViewId="0"/>
  </sheetViews>
  <sheetFormatPr baseColWidth="10" defaultColWidth="14.453125" defaultRowHeight="15" customHeight="1" x14ac:dyDescent="0.35"/>
  <cols>
    <col min="1" max="1" width="22.26953125" customWidth="1"/>
    <col min="2" max="2" width="31" customWidth="1"/>
    <col min="3" max="3" width="20.26953125" customWidth="1"/>
    <col min="12" max="12" width="21" customWidth="1"/>
  </cols>
  <sheetData>
    <row r="1" spans="1:17" x14ac:dyDescent="0.35">
      <c r="A1" s="22" t="s">
        <v>68</v>
      </c>
      <c r="B1" s="23" t="s">
        <v>69</v>
      </c>
      <c r="C1" s="23" t="s">
        <v>70</v>
      </c>
      <c r="D1" s="23" t="s">
        <v>71</v>
      </c>
      <c r="E1" s="23" t="s">
        <v>72</v>
      </c>
      <c r="F1" s="23" t="s">
        <v>73</v>
      </c>
      <c r="G1" s="23" t="s">
        <v>74</v>
      </c>
      <c r="H1" s="23" t="s">
        <v>75</v>
      </c>
      <c r="I1" s="23" t="s">
        <v>76</v>
      </c>
      <c r="J1" s="24" t="s">
        <v>77</v>
      </c>
      <c r="K1" s="24" t="s">
        <v>78</v>
      </c>
      <c r="L1" s="24" t="s">
        <v>79</v>
      </c>
      <c r="M1" s="24" t="s">
        <v>80</v>
      </c>
      <c r="N1" s="24" t="s">
        <v>81</v>
      </c>
      <c r="O1" s="24" t="s">
        <v>82</v>
      </c>
      <c r="P1" s="24" t="s">
        <v>114</v>
      </c>
      <c r="Q1" s="24" t="s">
        <v>119</v>
      </c>
    </row>
    <row r="2" spans="1:17" x14ac:dyDescent="0.35">
      <c r="A2" s="25" t="s">
        <v>120</v>
      </c>
      <c r="B2" s="26">
        <v>111</v>
      </c>
      <c r="C2" s="26">
        <v>296720</v>
      </c>
      <c r="D2" s="25">
        <v>1231</v>
      </c>
      <c r="E2" s="25" t="s">
        <v>42</v>
      </c>
      <c r="F2" s="25">
        <v>1</v>
      </c>
      <c r="G2" s="27">
        <v>46304</v>
      </c>
      <c r="H2" s="28" t="s">
        <v>86</v>
      </c>
      <c r="I2" s="25" t="s">
        <v>87</v>
      </c>
      <c r="J2" s="29" t="s">
        <v>88</v>
      </c>
      <c r="K2" s="25">
        <v>43</v>
      </c>
      <c r="L2" s="26" t="s">
        <v>55</v>
      </c>
      <c r="M2" s="26" t="s">
        <v>56</v>
      </c>
      <c r="N2" s="26" t="s">
        <v>43</v>
      </c>
      <c r="O2" s="26"/>
      <c r="P2" s="30">
        <v>25114824</v>
      </c>
      <c r="Q2" s="31">
        <v>100</v>
      </c>
    </row>
    <row r="3" spans="1:17" x14ac:dyDescent="0.35"/>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'DATA MAESTRA'!$B$2:$B$23</xm:f>
          </x14:formula1>
          <xm:sqref>O2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U1000"/>
  <sheetViews>
    <sheetView workbookViewId="0"/>
  </sheetViews>
  <sheetFormatPr baseColWidth="10" defaultColWidth="14.453125" defaultRowHeight="15" customHeight="1" x14ac:dyDescent="0.35"/>
  <cols>
    <col min="2" max="2" width="56.7265625" customWidth="1"/>
  </cols>
  <sheetData>
    <row r="1" spans="1:21" x14ac:dyDescent="0.35">
      <c r="A1" s="52" t="s">
        <v>121</v>
      </c>
      <c r="B1" s="53" t="s">
        <v>122</v>
      </c>
      <c r="C1" s="52" t="s">
        <v>123</v>
      </c>
      <c r="E1" s="54" t="s">
        <v>121</v>
      </c>
      <c r="F1" s="54" t="s">
        <v>122</v>
      </c>
      <c r="G1" s="54" t="s">
        <v>124</v>
      </c>
      <c r="H1" s="54" t="s">
        <v>125</v>
      </c>
      <c r="I1" s="54" t="s">
        <v>126</v>
      </c>
      <c r="J1" s="54" t="s">
        <v>127</v>
      </c>
      <c r="L1" s="54" t="s">
        <v>121</v>
      </c>
      <c r="M1" s="54" t="s">
        <v>122</v>
      </c>
      <c r="N1" s="54" t="s">
        <v>128</v>
      </c>
      <c r="O1" s="54" t="s">
        <v>129</v>
      </c>
      <c r="P1" s="54" t="s">
        <v>130</v>
      </c>
      <c r="R1" s="52" t="s">
        <v>121</v>
      </c>
      <c r="S1" s="52" t="s">
        <v>122</v>
      </c>
      <c r="T1" s="52" t="s">
        <v>131</v>
      </c>
      <c r="U1" s="52" t="s">
        <v>132</v>
      </c>
    </row>
    <row r="2" spans="1:21" x14ac:dyDescent="0.35">
      <c r="A2" s="55">
        <v>119</v>
      </c>
      <c r="B2" s="56" t="s">
        <v>133</v>
      </c>
      <c r="C2" s="55">
        <v>108</v>
      </c>
      <c r="E2" s="57">
        <v>29</v>
      </c>
      <c r="F2" s="58" t="s">
        <v>63</v>
      </c>
      <c r="G2" s="58">
        <v>28</v>
      </c>
      <c r="H2" s="58" t="s">
        <v>134</v>
      </c>
      <c r="I2" s="58">
        <v>13</v>
      </c>
      <c r="J2" s="58" t="s">
        <v>135</v>
      </c>
      <c r="L2" s="57">
        <v>12</v>
      </c>
      <c r="M2" s="58" t="s">
        <v>136</v>
      </c>
      <c r="N2" s="59">
        <v>0</v>
      </c>
      <c r="O2" s="58">
        <v>0</v>
      </c>
      <c r="P2" s="58" t="s">
        <v>135</v>
      </c>
      <c r="R2" s="60">
        <v>5</v>
      </c>
      <c r="S2" s="61" t="s">
        <v>62</v>
      </c>
      <c r="T2" s="60">
        <v>5</v>
      </c>
      <c r="U2" s="61">
        <v>5</v>
      </c>
    </row>
    <row r="3" spans="1:21" x14ac:dyDescent="0.35">
      <c r="A3" s="55">
        <v>118</v>
      </c>
      <c r="B3" s="56" t="s">
        <v>137</v>
      </c>
      <c r="C3" s="55">
        <v>107</v>
      </c>
      <c r="E3" s="57">
        <v>28</v>
      </c>
      <c r="F3" s="58" t="s">
        <v>63</v>
      </c>
      <c r="G3" s="58">
        <v>27</v>
      </c>
      <c r="H3" s="58" t="s">
        <v>138</v>
      </c>
      <c r="I3" s="58">
        <v>13</v>
      </c>
      <c r="J3" s="58" t="s">
        <v>135</v>
      </c>
      <c r="L3" s="57">
        <v>216</v>
      </c>
      <c r="M3" s="58" t="s">
        <v>139</v>
      </c>
      <c r="N3" s="59">
        <v>0.1</v>
      </c>
      <c r="O3" s="58">
        <v>1</v>
      </c>
      <c r="P3" s="58" t="s">
        <v>135</v>
      </c>
      <c r="R3" s="60">
        <v>3</v>
      </c>
      <c r="S3" s="61" t="s">
        <v>140</v>
      </c>
      <c r="T3" s="60">
        <v>3</v>
      </c>
      <c r="U3" s="61">
        <v>3</v>
      </c>
    </row>
    <row r="4" spans="1:21" x14ac:dyDescent="0.35">
      <c r="A4" s="55">
        <v>113</v>
      </c>
      <c r="B4" s="56" t="s">
        <v>141</v>
      </c>
      <c r="C4" s="55">
        <v>102</v>
      </c>
      <c r="E4" s="57">
        <v>30</v>
      </c>
      <c r="F4" s="58" t="s">
        <v>142</v>
      </c>
      <c r="G4" s="58">
        <v>29</v>
      </c>
      <c r="H4" s="58" t="s">
        <v>143</v>
      </c>
      <c r="I4" s="58">
        <v>10</v>
      </c>
      <c r="J4" s="58" t="s">
        <v>135</v>
      </c>
      <c r="L4" s="57">
        <v>107</v>
      </c>
      <c r="M4" s="58" t="s">
        <v>144</v>
      </c>
      <c r="N4" s="59">
        <v>0.15</v>
      </c>
      <c r="O4" s="58">
        <v>10</v>
      </c>
      <c r="P4" s="58" t="s">
        <v>135</v>
      </c>
      <c r="R4" s="60">
        <v>2</v>
      </c>
      <c r="S4" s="61" t="s">
        <v>145</v>
      </c>
      <c r="T4" s="60">
        <v>2</v>
      </c>
      <c r="U4" s="61">
        <v>2</v>
      </c>
    </row>
    <row r="5" spans="1:21" x14ac:dyDescent="0.35">
      <c r="A5" s="55">
        <v>107</v>
      </c>
      <c r="B5" s="56" t="s">
        <v>146</v>
      </c>
      <c r="C5" s="55">
        <v>7</v>
      </c>
      <c r="E5" s="57">
        <v>39</v>
      </c>
      <c r="F5" s="58" t="s">
        <v>147</v>
      </c>
      <c r="G5" s="58">
        <v>38</v>
      </c>
      <c r="H5" s="58" t="s">
        <v>148</v>
      </c>
      <c r="I5" s="62">
        <v>46224</v>
      </c>
      <c r="J5" s="58" t="s">
        <v>135</v>
      </c>
      <c r="L5" s="57">
        <v>201</v>
      </c>
      <c r="M5" s="58" t="s">
        <v>50</v>
      </c>
      <c r="N5" s="59">
        <v>0.12</v>
      </c>
      <c r="O5" s="58">
        <v>12</v>
      </c>
      <c r="P5" s="58" t="s">
        <v>135</v>
      </c>
      <c r="R5" s="60">
        <v>4</v>
      </c>
      <c r="S5" s="61" t="s">
        <v>149</v>
      </c>
      <c r="T5" s="60">
        <v>4</v>
      </c>
      <c r="U5" s="61">
        <v>4</v>
      </c>
    </row>
    <row r="6" spans="1:21" x14ac:dyDescent="0.35">
      <c r="A6" s="55">
        <v>101</v>
      </c>
      <c r="B6" s="56" t="s">
        <v>150</v>
      </c>
      <c r="C6" s="55">
        <v>1</v>
      </c>
      <c r="E6" s="57">
        <v>40</v>
      </c>
      <c r="F6" s="58" t="s">
        <v>151</v>
      </c>
      <c r="G6" s="58">
        <v>39</v>
      </c>
      <c r="H6" s="58" t="s">
        <v>152</v>
      </c>
      <c r="I6" s="62">
        <v>46224</v>
      </c>
      <c r="J6" s="58" t="s">
        <v>135</v>
      </c>
      <c r="L6" s="57">
        <v>108</v>
      </c>
      <c r="M6" s="58" t="s">
        <v>153</v>
      </c>
      <c r="N6" s="59">
        <v>0.04</v>
      </c>
      <c r="O6" s="58">
        <v>14</v>
      </c>
      <c r="P6" s="58" t="s">
        <v>135</v>
      </c>
      <c r="R6" s="60">
        <v>6</v>
      </c>
      <c r="S6" s="61" t="s">
        <v>154</v>
      </c>
      <c r="T6" s="60">
        <v>6</v>
      </c>
      <c r="U6" s="61">
        <v>6</v>
      </c>
    </row>
    <row r="7" spans="1:21" x14ac:dyDescent="0.35">
      <c r="A7" s="55">
        <v>109</v>
      </c>
      <c r="B7" s="56" t="s">
        <v>155</v>
      </c>
      <c r="C7" s="55">
        <v>9</v>
      </c>
      <c r="E7" s="57">
        <v>41</v>
      </c>
      <c r="F7" s="58" t="s">
        <v>156</v>
      </c>
      <c r="G7" s="58">
        <v>40</v>
      </c>
      <c r="H7" s="58" t="s">
        <v>157</v>
      </c>
      <c r="I7" s="58">
        <v>8</v>
      </c>
      <c r="J7" s="58" t="s">
        <v>135</v>
      </c>
      <c r="L7" s="57">
        <v>219</v>
      </c>
      <c r="M7" s="58" t="s">
        <v>158</v>
      </c>
      <c r="N7" s="59">
        <v>0.1</v>
      </c>
      <c r="O7" s="58">
        <v>16</v>
      </c>
      <c r="P7" s="58" t="s">
        <v>135</v>
      </c>
      <c r="R7" s="60">
        <v>1</v>
      </c>
      <c r="S7" s="61" t="s">
        <v>159</v>
      </c>
      <c r="T7" s="60">
        <v>1</v>
      </c>
      <c r="U7" s="61">
        <v>1</v>
      </c>
    </row>
    <row r="8" spans="1:21" x14ac:dyDescent="0.35">
      <c r="A8" s="55">
        <v>108</v>
      </c>
      <c r="B8" s="56" t="s">
        <v>160</v>
      </c>
      <c r="C8" s="55">
        <v>8</v>
      </c>
      <c r="E8" s="57">
        <v>42</v>
      </c>
      <c r="F8" s="58" t="s">
        <v>161</v>
      </c>
      <c r="G8" s="58">
        <v>41</v>
      </c>
      <c r="H8" s="58" t="s">
        <v>162</v>
      </c>
      <c r="I8" s="62">
        <v>46224</v>
      </c>
      <c r="J8" s="58" t="s">
        <v>135</v>
      </c>
      <c r="L8" s="57">
        <v>109</v>
      </c>
      <c r="M8" s="58" t="s">
        <v>163</v>
      </c>
      <c r="N8" s="59">
        <v>0.04</v>
      </c>
      <c r="O8" s="58">
        <v>17</v>
      </c>
      <c r="P8" s="58" t="s">
        <v>135</v>
      </c>
    </row>
    <row r="9" spans="1:21" x14ac:dyDescent="0.35">
      <c r="A9" s="55">
        <v>102</v>
      </c>
      <c r="B9" s="56" t="s">
        <v>164</v>
      </c>
      <c r="C9" s="55">
        <v>2</v>
      </c>
      <c r="E9" s="57">
        <v>43</v>
      </c>
      <c r="F9" s="58" t="s">
        <v>165</v>
      </c>
      <c r="G9" s="58">
        <v>42</v>
      </c>
      <c r="H9" s="58" t="s">
        <v>166</v>
      </c>
      <c r="I9" s="62">
        <v>46224</v>
      </c>
      <c r="J9" s="58" t="s">
        <v>135</v>
      </c>
      <c r="L9" s="57">
        <v>2</v>
      </c>
      <c r="M9" s="58" t="s">
        <v>167</v>
      </c>
      <c r="N9" s="59">
        <v>0.1</v>
      </c>
      <c r="O9" s="58">
        <v>19</v>
      </c>
      <c r="P9" s="58" t="s">
        <v>135</v>
      </c>
    </row>
    <row r="10" spans="1:21" x14ac:dyDescent="0.35">
      <c r="A10" s="55">
        <v>111</v>
      </c>
      <c r="B10" s="56" t="s">
        <v>168</v>
      </c>
      <c r="C10" s="55">
        <v>11</v>
      </c>
      <c r="E10" s="57">
        <v>38</v>
      </c>
      <c r="F10" s="58" t="s">
        <v>169</v>
      </c>
      <c r="G10" s="58">
        <v>37</v>
      </c>
      <c r="H10" s="58" t="s">
        <v>170</v>
      </c>
      <c r="I10" s="62">
        <v>46224</v>
      </c>
      <c r="J10" s="58" t="s">
        <v>135</v>
      </c>
      <c r="L10" s="57">
        <v>203</v>
      </c>
      <c r="M10" s="58" t="s">
        <v>171</v>
      </c>
      <c r="N10" s="59">
        <v>0.12</v>
      </c>
      <c r="O10" s="58">
        <v>20</v>
      </c>
      <c r="P10" s="58" t="s">
        <v>135</v>
      </c>
    </row>
    <row r="11" spans="1:21" x14ac:dyDescent="0.35">
      <c r="A11" s="55">
        <v>110</v>
      </c>
      <c r="B11" s="56" t="s">
        <v>172</v>
      </c>
      <c r="C11" s="55">
        <v>10</v>
      </c>
      <c r="E11" s="57">
        <v>33</v>
      </c>
      <c r="F11" s="58" t="s">
        <v>173</v>
      </c>
      <c r="G11" s="58">
        <v>32</v>
      </c>
      <c r="H11" s="58" t="s">
        <v>174</v>
      </c>
      <c r="I11" s="58">
        <v>8</v>
      </c>
      <c r="J11" s="58" t="s">
        <v>135</v>
      </c>
      <c r="L11" s="57">
        <v>4</v>
      </c>
      <c r="M11" s="58" t="s">
        <v>175</v>
      </c>
      <c r="N11" s="59">
        <v>0.1</v>
      </c>
      <c r="O11" s="58">
        <v>21</v>
      </c>
      <c r="P11" s="58" t="s">
        <v>135</v>
      </c>
    </row>
    <row r="12" spans="1:21" x14ac:dyDescent="0.35">
      <c r="A12" s="55">
        <v>104</v>
      </c>
      <c r="B12" s="56" t="s">
        <v>176</v>
      </c>
      <c r="C12" s="55">
        <v>4</v>
      </c>
      <c r="E12" s="57">
        <v>35</v>
      </c>
      <c r="F12" s="58" t="s">
        <v>177</v>
      </c>
      <c r="G12" s="58">
        <v>34</v>
      </c>
      <c r="H12" s="58" t="s">
        <v>178</v>
      </c>
      <c r="I12" s="58">
        <v>8</v>
      </c>
      <c r="J12" s="58" t="s">
        <v>135</v>
      </c>
      <c r="L12" s="57">
        <v>202</v>
      </c>
      <c r="M12" s="58" t="s">
        <v>179</v>
      </c>
      <c r="N12" s="59">
        <v>0.12</v>
      </c>
      <c r="O12" s="58">
        <v>22</v>
      </c>
      <c r="P12" s="58" t="s">
        <v>135</v>
      </c>
    </row>
    <row r="13" spans="1:21" x14ac:dyDescent="0.35">
      <c r="A13" s="55">
        <v>115</v>
      </c>
      <c r="B13" s="56" t="s">
        <v>180</v>
      </c>
      <c r="C13" s="55">
        <v>104</v>
      </c>
      <c r="E13" s="57">
        <v>36</v>
      </c>
      <c r="F13" s="58" t="s">
        <v>177</v>
      </c>
      <c r="G13" s="58">
        <v>35</v>
      </c>
      <c r="H13" s="58" t="s">
        <v>181</v>
      </c>
      <c r="I13" s="58">
        <v>8</v>
      </c>
      <c r="J13" s="58" t="s">
        <v>135</v>
      </c>
      <c r="L13" s="57">
        <v>220</v>
      </c>
      <c r="M13" s="58" t="s">
        <v>182</v>
      </c>
      <c r="N13" s="59">
        <v>0.04</v>
      </c>
      <c r="O13" s="58">
        <v>23</v>
      </c>
      <c r="P13" s="58" t="s">
        <v>135</v>
      </c>
    </row>
    <row r="14" spans="1:21" x14ac:dyDescent="0.35">
      <c r="A14" s="55">
        <v>114</v>
      </c>
      <c r="B14" s="56" t="s">
        <v>183</v>
      </c>
      <c r="C14" s="55">
        <v>103</v>
      </c>
      <c r="E14" s="57">
        <v>34</v>
      </c>
      <c r="F14" s="58" t="s">
        <v>177</v>
      </c>
      <c r="G14" s="58">
        <v>33</v>
      </c>
      <c r="H14" s="58" t="s">
        <v>184</v>
      </c>
      <c r="I14" s="58">
        <v>8</v>
      </c>
      <c r="J14" s="58" t="s">
        <v>135</v>
      </c>
      <c r="L14" s="57">
        <v>6</v>
      </c>
      <c r="M14" s="58" t="s">
        <v>185</v>
      </c>
      <c r="N14" s="59">
        <v>0.1</v>
      </c>
      <c r="O14" s="58">
        <v>24</v>
      </c>
      <c r="P14" s="58" t="s">
        <v>135</v>
      </c>
    </row>
    <row r="15" spans="1:21" x14ac:dyDescent="0.35">
      <c r="A15" s="55">
        <v>120</v>
      </c>
      <c r="B15" s="56" t="s">
        <v>186</v>
      </c>
      <c r="C15" s="55">
        <v>999</v>
      </c>
      <c r="E15" s="57">
        <v>37</v>
      </c>
      <c r="F15" s="58" t="s">
        <v>177</v>
      </c>
      <c r="G15" s="58">
        <v>36</v>
      </c>
      <c r="H15" s="58" t="s">
        <v>187</v>
      </c>
      <c r="I15" s="58">
        <v>24</v>
      </c>
      <c r="J15" s="58" t="s">
        <v>135</v>
      </c>
      <c r="L15" s="57">
        <v>7</v>
      </c>
      <c r="M15" s="58" t="s">
        <v>188</v>
      </c>
      <c r="N15" s="59">
        <v>0.1</v>
      </c>
      <c r="O15" s="58">
        <v>25</v>
      </c>
      <c r="P15" s="58" t="s">
        <v>135</v>
      </c>
    </row>
    <row r="16" spans="1:21" x14ac:dyDescent="0.35">
      <c r="A16" s="55">
        <v>117</v>
      </c>
      <c r="B16" s="56" t="s">
        <v>189</v>
      </c>
      <c r="C16" s="55">
        <v>106</v>
      </c>
      <c r="E16" s="57">
        <v>31</v>
      </c>
      <c r="F16" s="58" t="s">
        <v>190</v>
      </c>
      <c r="G16" s="58">
        <v>30</v>
      </c>
      <c r="H16" s="58" t="s">
        <v>191</v>
      </c>
      <c r="I16" s="62">
        <v>46224</v>
      </c>
      <c r="J16" s="58" t="s">
        <v>135</v>
      </c>
      <c r="L16" s="57">
        <v>8</v>
      </c>
      <c r="M16" s="58" t="s">
        <v>192</v>
      </c>
      <c r="N16" s="59">
        <v>0.1</v>
      </c>
      <c r="O16" s="58">
        <v>26</v>
      </c>
      <c r="P16" s="58" t="s">
        <v>135</v>
      </c>
    </row>
    <row r="17" spans="1:16" x14ac:dyDescent="0.35">
      <c r="A17" s="55">
        <v>116</v>
      </c>
      <c r="B17" s="56" t="s">
        <v>193</v>
      </c>
      <c r="C17" s="55">
        <v>105</v>
      </c>
      <c r="E17" s="57">
        <v>32</v>
      </c>
      <c r="F17" s="58" t="s">
        <v>194</v>
      </c>
      <c r="G17" s="58">
        <v>31</v>
      </c>
      <c r="H17" s="58" t="s">
        <v>195</v>
      </c>
      <c r="I17" s="58">
        <v>8</v>
      </c>
      <c r="J17" s="58" t="s">
        <v>135</v>
      </c>
      <c r="L17" s="57">
        <v>13</v>
      </c>
      <c r="M17" s="58" t="s">
        <v>196</v>
      </c>
      <c r="N17" s="59">
        <v>0.04</v>
      </c>
      <c r="O17" s="58">
        <v>27</v>
      </c>
      <c r="P17" s="58" t="s">
        <v>135</v>
      </c>
    </row>
    <row r="18" spans="1:16" x14ac:dyDescent="0.35">
      <c r="A18" s="55">
        <v>106</v>
      </c>
      <c r="B18" s="56" t="s">
        <v>197</v>
      </c>
      <c r="C18" s="55">
        <v>6</v>
      </c>
      <c r="E18" s="57">
        <v>44</v>
      </c>
      <c r="F18" s="58" t="s">
        <v>198</v>
      </c>
      <c r="G18" s="58">
        <v>43</v>
      </c>
      <c r="H18" s="58" t="s">
        <v>199</v>
      </c>
      <c r="I18" s="58">
        <v>15</v>
      </c>
      <c r="J18" s="58" t="s">
        <v>135</v>
      </c>
      <c r="L18" s="57">
        <v>217</v>
      </c>
      <c r="M18" s="58" t="s">
        <v>200</v>
      </c>
      <c r="N18" s="59">
        <v>0.1</v>
      </c>
      <c r="O18" s="58">
        <v>3</v>
      </c>
      <c r="P18" s="58" t="s">
        <v>135</v>
      </c>
    </row>
    <row r="19" spans="1:16" x14ac:dyDescent="0.35">
      <c r="A19" s="55">
        <v>444</v>
      </c>
      <c r="B19" s="56" t="s">
        <v>201</v>
      </c>
      <c r="C19" s="55">
        <v>12</v>
      </c>
      <c r="E19" s="57">
        <v>3</v>
      </c>
      <c r="F19" s="58" t="s">
        <v>202</v>
      </c>
      <c r="G19" s="58">
        <v>2</v>
      </c>
      <c r="H19" s="58" t="s">
        <v>203</v>
      </c>
      <c r="I19" s="58">
        <v>6</v>
      </c>
      <c r="J19" s="58" t="s">
        <v>135</v>
      </c>
      <c r="L19" s="57">
        <v>9</v>
      </c>
      <c r="M19" s="58" t="s">
        <v>204</v>
      </c>
      <c r="N19" s="59">
        <v>0.04</v>
      </c>
      <c r="O19" s="58">
        <v>30</v>
      </c>
      <c r="P19" s="58" t="s">
        <v>135</v>
      </c>
    </row>
    <row r="20" spans="1:16" x14ac:dyDescent="0.35">
      <c r="A20" s="55">
        <v>105</v>
      </c>
      <c r="B20" s="56" t="s">
        <v>205</v>
      </c>
      <c r="C20" s="55">
        <v>5</v>
      </c>
      <c r="E20" s="57">
        <v>2</v>
      </c>
      <c r="F20" s="58" t="s">
        <v>202</v>
      </c>
      <c r="G20" s="58">
        <v>1</v>
      </c>
      <c r="H20" s="58" t="s">
        <v>206</v>
      </c>
      <c r="I20" s="58">
        <v>6</v>
      </c>
      <c r="J20" s="58" t="s">
        <v>135</v>
      </c>
      <c r="L20" s="57">
        <v>111</v>
      </c>
      <c r="M20" s="58" t="s">
        <v>207</v>
      </c>
      <c r="N20" s="59">
        <v>0.1</v>
      </c>
      <c r="O20" s="58">
        <v>31</v>
      </c>
      <c r="P20" s="58" t="s">
        <v>135</v>
      </c>
    </row>
    <row r="21" spans="1:16" x14ac:dyDescent="0.35">
      <c r="A21" s="55">
        <v>445</v>
      </c>
      <c r="B21" s="56" t="s">
        <v>208</v>
      </c>
      <c r="C21" s="55">
        <v>13</v>
      </c>
      <c r="E21" s="57">
        <v>5</v>
      </c>
      <c r="F21" s="58" t="s">
        <v>209</v>
      </c>
      <c r="G21" s="58">
        <v>4</v>
      </c>
      <c r="H21" s="58" t="s">
        <v>210</v>
      </c>
      <c r="I21" s="58">
        <v>12</v>
      </c>
      <c r="J21" s="58" t="s">
        <v>135</v>
      </c>
      <c r="L21" s="57">
        <v>221</v>
      </c>
      <c r="M21" s="58" t="s">
        <v>211</v>
      </c>
      <c r="N21" s="59">
        <v>0.1</v>
      </c>
      <c r="O21" s="58">
        <v>32</v>
      </c>
      <c r="P21" s="58" t="s">
        <v>135</v>
      </c>
    </row>
    <row r="22" spans="1:16" x14ac:dyDescent="0.35">
      <c r="A22" s="55">
        <v>103</v>
      </c>
      <c r="B22" s="56" t="s">
        <v>48</v>
      </c>
      <c r="C22" s="55">
        <v>3</v>
      </c>
      <c r="E22" s="57">
        <v>6</v>
      </c>
      <c r="F22" s="58" t="s">
        <v>209</v>
      </c>
      <c r="G22" s="58">
        <v>5</v>
      </c>
      <c r="H22" s="58" t="s">
        <v>212</v>
      </c>
      <c r="I22" s="58">
        <v>12</v>
      </c>
      <c r="J22" s="58" t="s">
        <v>135</v>
      </c>
      <c r="L22" s="57">
        <v>112</v>
      </c>
      <c r="M22" s="58" t="s">
        <v>213</v>
      </c>
      <c r="N22" s="59">
        <v>0.1</v>
      </c>
      <c r="O22" s="58">
        <v>34</v>
      </c>
      <c r="P22" s="58" t="s">
        <v>135</v>
      </c>
    </row>
    <row r="23" spans="1:16" x14ac:dyDescent="0.35">
      <c r="A23" s="55">
        <v>112</v>
      </c>
      <c r="B23" s="56" t="s">
        <v>214</v>
      </c>
      <c r="C23" s="55">
        <v>101</v>
      </c>
      <c r="E23" s="57">
        <v>4</v>
      </c>
      <c r="F23" s="58" t="s">
        <v>209</v>
      </c>
      <c r="G23" s="58">
        <v>3</v>
      </c>
      <c r="H23" s="58" t="s">
        <v>215</v>
      </c>
      <c r="I23" s="58">
        <v>12</v>
      </c>
      <c r="J23" s="58" t="s">
        <v>135</v>
      </c>
      <c r="L23" s="57">
        <v>102</v>
      </c>
      <c r="M23" s="58" t="s">
        <v>216</v>
      </c>
      <c r="N23" s="59">
        <v>1.4999999999999999E-2</v>
      </c>
      <c r="O23" s="58">
        <v>35</v>
      </c>
      <c r="P23" s="58" t="s">
        <v>135</v>
      </c>
    </row>
    <row r="24" spans="1:16" x14ac:dyDescent="0.35">
      <c r="A24" s="20"/>
      <c r="B24" s="63"/>
      <c r="C24" s="20"/>
      <c r="E24" s="57">
        <v>7</v>
      </c>
      <c r="F24" s="58" t="s">
        <v>217</v>
      </c>
      <c r="G24" s="58">
        <v>6</v>
      </c>
      <c r="H24" s="58" t="s">
        <v>218</v>
      </c>
      <c r="I24" s="58">
        <v>11</v>
      </c>
      <c r="J24" s="58" t="s">
        <v>135</v>
      </c>
      <c r="L24" s="57">
        <v>103</v>
      </c>
      <c r="M24" s="58" t="s">
        <v>219</v>
      </c>
      <c r="N24" s="59">
        <v>1.4999999999999999E-2</v>
      </c>
      <c r="O24" s="58">
        <v>36</v>
      </c>
      <c r="P24" s="58" t="s">
        <v>135</v>
      </c>
    </row>
    <row r="25" spans="1:16" x14ac:dyDescent="0.35">
      <c r="A25" s="20"/>
      <c r="B25" s="63"/>
      <c r="C25" s="20"/>
      <c r="E25" s="57">
        <v>9</v>
      </c>
      <c r="F25" s="58" t="s">
        <v>220</v>
      </c>
      <c r="G25" s="58">
        <v>8</v>
      </c>
      <c r="H25" s="58" t="s">
        <v>221</v>
      </c>
      <c r="I25" s="58">
        <v>10</v>
      </c>
      <c r="J25" s="58" t="s">
        <v>135</v>
      </c>
      <c r="L25" s="57">
        <v>204</v>
      </c>
      <c r="M25" s="58" t="s">
        <v>222</v>
      </c>
      <c r="N25" s="59">
        <v>0.12</v>
      </c>
      <c r="O25" s="58">
        <v>37</v>
      </c>
      <c r="P25" s="58" t="s">
        <v>135</v>
      </c>
    </row>
    <row r="26" spans="1:16" x14ac:dyDescent="0.35">
      <c r="A26" s="20"/>
      <c r="B26" s="63"/>
      <c r="C26" s="20"/>
      <c r="E26" s="57">
        <v>8</v>
      </c>
      <c r="F26" s="58" t="s">
        <v>220</v>
      </c>
      <c r="G26" s="58">
        <v>7</v>
      </c>
      <c r="H26" s="58" t="s">
        <v>223</v>
      </c>
      <c r="I26" s="58">
        <v>10</v>
      </c>
      <c r="J26" s="58" t="s">
        <v>135</v>
      </c>
      <c r="L26" s="57">
        <v>104</v>
      </c>
      <c r="M26" s="58" t="s">
        <v>224</v>
      </c>
      <c r="N26" s="59">
        <v>0.1</v>
      </c>
      <c r="O26" s="58">
        <v>39</v>
      </c>
      <c r="P26" s="58" t="s">
        <v>135</v>
      </c>
    </row>
    <row r="27" spans="1:16" x14ac:dyDescent="0.35">
      <c r="A27" s="20"/>
      <c r="B27" s="63"/>
      <c r="C27" s="20"/>
      <c r="E27" s="57">
        <v>10</v>
      </c>
      <c r="F27" s="58" t="s">
        <v>225</v>
      </c>
      <c r="G27" s="58">
        <v>9</v>
      </c>
      <c r="H27" s="58" t="s">
        <v>226</v>
      </c>
      <c r="I27" s="58">
        <v>21</v>
      </c>
      <c r="J27" s="58" t="s">
        <v>135</v>
      </c>
      <c r="L27" s="57">
        <v>101</v>
      </c>
      <c r="M27" s="58" t="s">
        <v>227</v>
      </c>
      <c r="N27" s="59">
        <v>0.04</v>
      </c>
      <c r="O27" s="58">
        <v>4</v>
      </c>
      <c r="P27" s="58" t="s">
        <v>135</v>
      </c>
    </row>
    <row r="28" spans="1:16" x14ac:dyDescent="0.35">
      <c r="A28" s="20"/>
      <c r="B28" s="63"/>
      <c r="C28" s="20"/>
      <c r="E28" s="57">
        <v>11</v>
      </c>
      <c r="F28" s="58" t="s">
        <v>228</v>
      </c>
      <c r="G28" s="58">
        <v>10</v>
      </c>
      <c r="H28" s="58" t="s">
        <v>229</v>
      </c>
      <c r="I28" s="58">
        <v>15</v>
      </c>
      <c r="J28" s="58" t="s">
        <v>135</v>
      </c>
      <c r="L28" s="57">
        <v>205</v>
      </c>
      <c r="M28" s="58" t="s">
        <v>230</v>
      </c>
      <c r="N28" s="58"/>
      <c r="O28" s="58">
        <v>40</v>
      </c>
      <c r="P28" s="58" t="s">
        <v>135</v>
      </c>
    </row>
    <row r="29" spans="1:16" x14ac:dyDescent="0.35">
      <c r="A29" s="20"/>
      <c r="B29" s="63"/>
      <c r="C29" s="20"/>
      <c r="E29" s="57">
        <v>12</v>
      </c>
      <c r="F29" s="58" t="s">
        <v>231</v>
      </c>
      <c r="G29" s="58">
        <v>11</v>
      </c>
      <c r="H29" s="58" t="s">
        <v>232</v>
      </c>
      <c r="I29" s="58">
        <v>18</v>
      </c>
      <c r="J29" s="58" t="s">
        <v>135</v>
      </c>
      <c r="L29" s="57">
        <v>105</v>
      </c>
      <c r="M29" s="58" t="s">
        <v>233</v>
      </c>
      <c r="N29" s="59">
        <v>0.04</v>
      </c>
      <c r="O29" s="58">
        <v>5</v>
      </c>
      <c r="P29" s="58" t="s">
        <v>135</v>
      </c>
    </row>
    <row r="30" spans="1:16" x14ac:dyDescent="0.35">
      <c r="A30" s="20"/>
      <c r="B30" s="63"/>
      <c r="C30" s="20"/>
      <c r="E30" s="57">
        <v>15</v>
      </c>
      <c r="F30" s="58" t="s">
        <v>234</v>
      </c>
      <c r="G30" s="58">
        <v>14</v>
      </c>
      <c r="H30" s="58" t="s">
        <v>235</v>
      </c>
      <c r="I30" s="58">
        <v>13</v>
      </c>
      <c r="J30" s="58" t="s">
        <v>135</v>
      </c>
      <c r="L30" s="57">
        <v>218</v>
      </c>
      <c r="M30" s="58" t="s">
        <v>236</v>
      </c>
      <c r="N30" s="59">
        <v>0.1</v>
      </c>
      <c r="O30" s="58">
        <v>7</v>
      </c>
      <c r="P30" s="58" t="s">
        <v>135</v>
      </c>
    </row>
    <row r="31" spans="1:16" x14ac:dyDescent="0.35">
      <c r="A31" s="20"/>
      <c r="B31" s="63"/>
      <c r="C31" s="20"/>
      <c r="E31" s="57">
        <v>13</v>
      </c>
      <c r="F31" s="58" t="s">
        <v>234</v>
      </c>
      <c r="G31" s="58">
        <v>12</v>
      </c>
      <c r="H31" s="58" t="s">
        <v>237</v>
      </c>
      <c r="I31" s="58">
        <v>13</v>
      </c>
      <c r="J31" s="58" t="s">
        <v>135</v>
      </c>
      <c r="L31" s="57">
        <v>110</v>
      </c>
      <c r="M31" s="58" t="s">
        <v>238</v>
      </c>
      <c r="N31" s="59">
        <v>0.04</v>
      </c>
      <c r="O31" s="58">
        <v>8</v>
      </c>
      <c r="P31" s="58" t="s">
        <v>135</v>
      </c>
    </row>
    <row r="32" spans="1:16" x14ac:dyDescent="0.35">
      <c r="A32" s="20"/>
      <c r="B32" s="63"/>
      <c r="C32" s="20"/>
      <c r="E32" s="57">
        <v>18</v>
      </c>
      <c r="F32" s="58" t="s">
        <v>234</v>
      </c>
      <c r="G32" s="58">
        <v>17</v>
      </c>
      <c r="H32" s="58" t="s">
        <v>239</v>
      </c>
      <c r="I32" s="58">
        <v>13</v>
      </c>
      <c r="J32" s="58" t="s">
        <v>135</v>
      </c>
      <c r="L32" s="57">
        <v>106</v>
      </c>
      <c r="M32" s="58" t="s">
        <v>240</v>
      </c>
      <c r="N32" s="59">
        <v>0.1</v>
      </c>
      <c r="O32" s="58">
        <v>9</v>
      </c>
      <c r="P32" s="58" t="s">
        <v>135</v>
      </c>
    </row>
    <row r="33" spans="5:10" x14ac:dyDescent="0.35">
      <c r="E33" s="57">
        <v>16</v>
      </c>
      <c r="F33" s="58" t="s">
        <v>234</v>
      </c>
      <c r="G33" s="58">
        <v>15</v>
      </c>
      <c r="H33" s="58" t="s">
        <v>241</v>
      </c>
      <c r="I33" s="58">
        <v>13</v>
      </c>
      <c r="J33" s="58" t="s">
        <v>135</v>
      </c>
    </row>
    <row r="34" spans="5:10" x14ac:dyDescent="0.35">
      <c r="E34" s="57">
        <v>14</v>
      </c>
      <c r="F34" s="58" t="s">
        <v>234</v>
      </c>
      <c r="G34" s="58">
        <v>13</v>
      </c>
      <c r="H34" s="58" t="s">
        <v>242</v>
      </c>
      <c r="I34" s="58">
        <v>13</v>
      </c>
      <c r="J34" s="58" t="s">
        <v>135</v>
      </c>
    </row>
    <row r="35" spans="5:10" x14ac:dyDescent="0.35">
      <c r="E35" s="57">
        <v>17</v>
      </c>
      <c r="F35" s="58" t="s">
        <v>234</v>
      </c>
      <c r="G35" s="58">
        <v>16</v>
      </c>
      <c r="H35" s="58" t="s">
        <v>243</v>
      </c>
      <c r="I35" s="58">
        <v>13</v>
      </c>
      <c r="J35" s="58" t="s">
        <v>135</v>
      </c>
    </row>
    <row r="36" spans="5:10" x14ac:dyDescent="0.35">
      <c r="E36" s="57">
        <v>19</v>
      </c>
      <c r="F36" s="58" t="s">
        <v>244</v>
      </c>
      <c r="G36" s="58">
        <v>18</v>
      </c>
      <c r="H36" s="58" t="s">
        <v>245</v>
      </c>
      <c r="I36" s="58">
        <v>21</v>
      </c>
      <c r="J36" s="58" t="s">
        <v>135</v>
      </c>
    </row>
    <row r="37" spans="5:10" x14ac:dyDescent="0.35">
      <c r="E37" s="57">
        <v>20</v>
      </c>
      <c r="F37" s="58" t="s">
        <v>246</v>
      </c>
      <c r="G37" s="58">
        <v>19</v>
      </c>
      <c r="H37" s="58" t="s">
        <v>247</v>
      </c>
      <c r="I37" s="58">
        <v>7</v>
      </c>
      <c r="J37" s="58" t="s">
        <v>135</v>
      </c>
    </row>
    <row r="38" spans="5:10" x14ac:dyDescent="0.35">
      <c r="E38" s="57">
        <v>1</v>
      </c>
      <c r="F38" s="58" t="s">
        <v>248</v>
      </c>
      <c r="G38" s="58">
        <v>0</v>
      </c>
      <c r="H38" s="58" t="s">
        <v>248</v>
      </c>
      <c r="I38" s="58"/>
      <c r="J38" s="58" t="s">
        <v>135</v>
      </c>
    </row>
    <row r="39" spans="5:10" x14ac:dyDescent="0.35">
      <c r="E39" s="57">
        <v>21</v>
      </c>
      <c r="F39" s="58" t="s">
        <v>249</v>
      </c>
      <c r="G39" s="58">
        <v>20</v>
      </c>
      <c r="H39" s="58" t="s">
        <v>250</v>
      </c>
      <c r="I39" s="58">
        <v>11</v>
      </c>
      <c r="J39" s="58" t="s">
        <v>135</v>
      </c>
    </row>
    <row r="40" spans="5:10" x14ac:dyDescent="0.35">
      <c r="E40" s="57">
        <v>22</v>
      </c>
      <c r="F40" s="58" t="s">
        <v>251</v>
      </c>
      <c r="G40" s="58">
        <v>21</v>
      </c>
      <c r="H40" s="58" t="s">
        <v>252</v>
      </c>
      <c r="I40" s="58">
        <v>16</v>
      </c>
      <c r="J40" s="58" t="s">
        <v>135</v>
      </c>
    </row>
    <row r="41" spans="5:10" x14ac:dyDescent="0.35">
      <c r="E41" s="57">
        <v>23</v>
      </c>
      <c r="F41" s="58" t="s">
        <v>253</v>
      </c>
      <c r="G41" s="58">
        <v>22</v>
      </c>
      <c r="H41" s="58" t="s">
        <v>254</v>
      </c>
      <c r="I41" s="58">
        <v>19</v>
      </c>
      <c r="J41" s="58" t="s">
        <v>135</v>
      </c>
    </row>
    <row r="42" spans="5:10" x14ac:dyDescent="0.35">
      <c r="E42" s="57">
        <v>25</v>
      </c>
      <c r="F42" s="58" t="s">
        <v>255</v>
      </c>
      <c r="G42" s="58">
        <v>24</v>
      </c>
      <c r="H42" s="58" t="s">
        <v>256</v>
      </c>
      <c r="I42" s="58">
        <v>7</v>
      </c>
      <c r="J42" s="58" t="s">
        <v>135</v>
      </c>
    </row>
    <row r="43" spans="5:10" x14ac:dyDescent="0.35">
      <c r="E43" s="57">
        <v>27</v>
      </c>
      <c r="F43" s="58" t="s">
        <v>255</v>
      </c>
      <c r="G43" s="58">
        <v>26</v>
      </c>
      <c r="H43" s="58" t="s">
        <v>257</v>
      </c>
      <c r="I43" s="58">
        <v>7</v>
      </c>
      <c r="J43" s="58" t="s">
        <v>135</v>
      </c>
    </row>
    <row r="44" spans="5:10" x14ac:dyDescent="0.35">
      <c r="E44" s="57">
        <v>24</v>
      </c>
      <c r="F44" s="58" t="s">
        <v>255</v>
      </c>
      <c r="G44" s="58">
        <v>23</v>
      </c>
      <c r="H44" s="58" t="s">
        <v>258</v>
      </c>
      <c r="I44" s="58">
        <v>7</v>
      </c>
      <c r="J44" s="58" t="s">
        <v>135</v>
      </c>
    </row>
    <row r="45" spans="5:10" x14ac:dyDescent="0.35">
      <c r="E45" s="57">
        <v>26</v>
      </c>
      <c r="F45" s="58" t="s">
        <v>255</v>
      </c>
      <c r="G45" s="58">
        <v>25</v>
      </c>
      <c r="H45" s="58" t="s">
        <v>259</v>
      </c>
      <c r="I45" s="58">
        <v>7</v>
      </c>
      <c r="J45" s="58" t="s">
        <v>135</v>
      </c>
    </row>
    <row r="46" spans="5:10" x14ac:dyDescent="0.35"/>
    <row r="47" spans="5:10" x14ac:dyDescent="0.35"/>
    <row r="48" spans="5:10"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row r="247" x14ac:dyDescent="0.35"/>
    <row r="248" x14ac:dyDescent="0.35"/>
    <row r="249" x14ac:dyDescent="0.35"/>
    <row r="250" x14ac:dyDescent="0.35"/>
    <row r="251" x14ac:dyDescent="0.35"/>
    <row r="252" x14ac:dyDescent="0.35"/>
    <row r="253" x14ac:dyDescent="0.35"/>
    <row r="254" x14ac:dyDescent="0.35"/>
    <row r="255" x14ac:dyDescent="0.35"/>
    <row r="256" x14ac:dyDescent="0.35"/>
    <row r="257" x14ac:dyDescent="0.35"/>
    <row r="258" x14ac:dyDescent="0.35"/>
    <row r="259" x14ac:dyDescent="0.35"/>
    <row r="260" x14ac:dyDescent="0.35"/>
    <row r="261" x14ac:dyDescent="0.35"/>
    <row r="262" x14ac:dyDescent="0.35"/>
    <row r="263" x14ac:dyDescent="0.35"/>
    <row r="264" x14ac:dyDescent="0.35"/>
    <row r="265" x14ac:dyDescent="0.35"/>
    <row r="266" x14ac:dyDescent="0.35"/>
    <row r="267" x14ac:dyDescent="0.35"/>
    <row r="268" x14ac:dyDescent="0.35"/>
    <row r="269" x14ac:dyDescent="0.35"/>
    <row r="270" x14ac:dyDescent="0.35"/>
    <row r="271" x14ac:dyDescent="0.35"/>
    <row r="272" x14ac:dyDescent="0.35"/>
    <row r="273" x14ac:dyDescent="0.35"/>
    <row r="274" x14ac:dyDescent="0.35"/>
    <row r="275" x14ac:dyDescent="0.35"/>
    <row r="276" x14ac:dyDescent="0.35"/>
    <row r="277" x14ac:dyDescent="0.35"/>
    <row r="278" x14ac:dyDescent="0.35"/>
    <row r="279" x14ac:dyDescent="0.35"/>
    <row r="280" x14ac:dyDescent="0.35"/>
    <row r="281" x14ac:dyDescent="0.35"/>
    <row r="282" x14ac:dyDescent="0.35"/>
    <row r="283" x14ac:dyDescent="0.35"/>
    <row r="284" x14ac:dyDescent="0.35"/>
    <row r="285" x14ac:dyDescent="0.35"/>
    <row r="286" x14ac:dyDescent="0.35"/>
    <row r="287" x14ac:dyDescent="0.35"/>
    <row r="288" x14ac:dyDescent="0.35"/>
    <row r="289" x14ac:dyDescent="0.35"/>
    <row r="290" x14ac:dyDescent="0.35"/>
    <row r="291" x14ac:dyDescent="0.35"/>
    <row r="292" x14ac:dyDescent="0.35"/>
    <row r="293" x14ac:dyDescent="0.35"/>
    <row r="294" x14ac:dyDescent="0.35"/>
    <row r="295" x14ac:dyDescent="0.35"/>
    <row r="296" x14ac:dyDescent="0.35"/>
    <row r="297" x14ac:dyDescent="0.35"/>
    <row r="298" x14ac:dyDescent="0.35"/>
    <row r="299" x14ac:dyDescent="0.35"/>
    <row r="300" x14ac:dyDescent="0.35"/>
    <row r="301" x14ac:dyDescent="0.35"/>
    <row r="302" x14ac:dyDescent="0.35"/>
    <row r="303" x14ac:dyDescent="0.35"/>
    <row r="304" x14ac:dyDescent="0.35"/>
    <row r="305" x14ac:dyDescent="0.35"/>
    <row r="306" x14ac:dyDescent="0.35"/>
    <row r="307" x14ac:dyDescent="0.35"/>
    <row r="308" x14ac:dyDescent="0.35"/>
    <row r="309" x14ac:dyDescent="0.35"/>
    <row r="310" x14ac:dyDescent="0.35"/>
    <row r="311" x14ac:dyDescent="0.35"/>
    <row r="312" x14ac:dyDescent="0.35"/>
    <row r="313" x14ac:dyDescent="0.35"/>
    <row r="314" x14ac:dyDescent="0.35"/>
    <row r="315" x14ac:dyDescent="0.35"/>
    <row r="316" x14ac:dyDescent="0.35"/>
    <row r="317" x14ac:dyDescent="0.35"/>
    <row r="318" x14ac:dyDescent="0.35"/>
    <row r="319" x14ac:dyDescent="0.35"/>
    <row r="320" x14ac:dyDescent="0.35"/>
    <row r="321" x14ac:dyDescent="0.35"/>
    <row r="322" x14ac:dyDescent="0.35"/>
    <row r="323" x14ac:dyDescent="0.35"/>
    <row r="324" x14ac:dyDescent="0.35"/>
    <row r="325" x14ac:dyDescent="0.35"/>
    <row r="326" x14ac:dyDescent="0.35"/>
    <row r="327" x14ac:dyDescent="0.35"/>
    <row r="328" x14ac:dyDescent="0.35"/>
    <row r="329" x14ac:dyDescent="0.35"/>
    <row r="330" x14ac:dyDescent="0.35"/>
    <row r="331" x14ac:dyDescent="0.35"/>
    <row r="332" x14ac:dyDescent="0.35"/>
    <row r="333" x14ac:dyDescent="0.35"/>
    <row r="334" x14ac:dyDescent="0.35"/>
    <row r="335" x14ac:dyDescent="0.35"/>
    <row r="336" x14ac:dyDescent="0.35"/>
    <row r="337" x14ac:dyDescent="0.35"/>
    <row r="338" x14ac:dyDescent="0.35"/>
    <row r="339" x14ac:dyDescent="0.35"/>
    <row r="340" x14ac:dyDescent="0.35"/>
    <row r="341" x14ac:dyDescent="0.35"/>
    <row r="342" x14ac:dyDescent="0.35"/>
    <row r="343" x14ac:dyDescent="0.35"/>
    <row r="344" x14ac:dyDescent="0.35"/>
    <row r="345" x14ac:dyDescent="0.35"/>
    <row r="346" x14ac:dyDescent="0.35"/>
    <row r="347" x14ac:dyDescent="0.35"/>
    <row r="348" x14ac:dyDescent="0.35"/>
    <row r="349" x14ac:dyDescent="0.35"/>
    <row r="350" x14ac:dyDescent="0.35"/>
    <row r="351" x14ac:dyDescent="0.35"/>
    <row r="352" x14ac:dyDescent="0.35"/>
    <row r="353" x14ac:dyDescent="0.35"/>
    <row r="354" x14ac:dyDescent="0.35"/>
    <row r="355" x14ac:dyDescent="0.35"/>
    <row r="356" x14ac:dyDescent="0.35"/>
    <row r="357" x14ac:dyDescent="0.35"/>
    <row r="358" x14ac:dyDescent="0.35"/>
    <row r="359" x14ac:dyDescent="0.35"/>
    <row r="360" x14ac:dyDescent="0.35"/>
    <row r="361" x14ac:dyDescent="0.35"/>
    <row r="362" x14ac:dyDescent="0.35"/>
    <row r="363" x14ac:dyDescent="0.35"/>
    <row r="364" x14ac:dyDescent="0.35"/>
    <row r="365" x14ac:dyDescent="0.35"/>
    <row r="366" x14ac:dyDescent="0.35"/>
    <row r="367" x14ac:dyDescent="0.35"/>
    <row r="368" x14ac:dyDescent="0.35"/>
    <row r="369" x14ac:dyDescent="0.35"/>
    <row r="370" x14ac:dyDescent="0.35"/>
    <row r="371" x14ac:dyDescent="0.35"/>
    <row r="372" x14ac:dyDescent="0.35"/>
    <row r="373" x14ac:dyDescent="0.35"/>
    <row r="374" x14ac:dyDescent="0.35"/>
    <row r="375" x14ac:dyDescent="0.35"/>
    <row r="376" x14ac:dyDescent="0.35"/>
    <row r="377" x14ac:dyDescent="0.35"/>
    <row r="378" x14ac:dyDescent="0.35"/>
    <row r="379" x14ac:dyDescent="0.35"/>
    <row r="380" x14ac:dyDescent="0.35"/>
    <row r="381" x14ac:dyDescent="0.35"/>
    <row r="382" x14ac:dyDescent="0.35"/>
    <row r="383" x14ac:dyDescent="0.35"/>
    <row r="384" x14ac:dyDescent="0.35"/>
    <row r="385" x14ac:dyDescent="0.35"/>
    <row r="386" x14ac:dyDescent="0.35"/>
    <row r="387" x14ac:dyDescent="0.35"/>
    <row r="388" x14ac:dyDescent="0.35"/>
    <row r="389" x14ac:dyDescent="0.35"/>
    <row r="390" x14ac:dyDescent="0.35"/>
    <row r="391" x14ac:dyDescent="0.35"/>
    <row r="392" x14ac:dyDescent="0.35"/>
    <row r="393" x14ac:dyDescent="0.35"/>
    <row r="394" x14ac:dyDescent="0.35"/>
    <row r="395" x14ac:dyDescent="0.35"/>
    <row r="396" x14ac:dyDescent="0.35"/>
    <row r="397" x14ac:dyDescent="0.35"/>
    <row r="398" x14ac:dyDescent="0.35"/>
    <row r="399" x14ac:dyDescent="0.35"/>
    <row r="400" x14ac:dyDescent="0.35"/>
    <row r="401" x14ac:dyDescent="0.35"/>
    <row r="402" x14ac:dyDescent="0.35"/>
    <row r="403" x14ac:dyDescent="0.35"/>
    <row r="404" x14ac:dyDescent="0.35"/>
    <row r="405" x14ac:dyDescent="0.35"/>
    <row r="406" x14ac:dyDescent="0.35"/>
    <row r="407" x14ac:dyDescent="0.35"/>
    <row r="408" x14ac:dyDescent="0.35"/>
    <row r="409" x14ac:dyDescent="0.35"/>
    <row r="410" x14ac:dyDescent="0.35"/>
    <row r="411" x14ac:dyDescent="0.35"/>
    <row r="412" x14ac:dyDescent="0.35"/>
    <row r="413" x14ac:dyDescent="0.35"/>
    <row r="414" x14ac:dyDescent="0.35"/>
    <row r="415" x14ac:dyDescent="0.35"/>
    <row r="416" x14ac:dyDescent="0.35"/>
    <row r="417" x14ac:dyDescent="0.35"/>
    <row r="418" x14ac:dyDescent="0.35"/>
    <row r="419" x14ac:dyDescent="0.35"/>
    <row r="420" x14ac:dyDescent="0.35"/>
    <row r="421" x14ac:dyDescent="0.35"/>
    <row r="422" x14ac:dyDescent="0.35"/>
    <row r="423" x14ac:dyDescent="0.35"/>
    <row r="424" x14ac:dyDescent="0.35"/>
    <row r="425" x14ac:dyDescent="0.35"/>
    <row r="426" x14ac:dyDescent="0.35"/>
    <row r="427" x14ac:dyDescent="0.35"/>
    <row r="428" x14ac:dyDescent="0.35"/>
    <row r="429" x14ac:dyDescent="0.35"/>
    <row r="430" x14ac:dyDescent="0.35"/>
    <row r="431" x14ac:dyDescent="0.35"/>
    <row r="432" x14ac:dyDescent="0.35"/>
    <row r="433" x14ac:dyDescent="0.35"/>
    <row r="434" x14ac:dyDescent="0.35"/>
    <row r="435" x14ac:dyDescent="0.35"/>
    <row r="436" x14ac:dyDescent="0.35"/>
    <row r="437" x14ac:dyDescent="0.35"/>
    <row r="438" x14ac:dyDescent="0.35"/>
    <row r="439" x14ac:dyDescent="0.35"/>
    <row r="440" x14ac:dyDescent="0.35"/>
    <row r="441" x14ac:dyDescent="0.35"/>
    <row r="442" x14ac:dyDescent="0.35"/>
    <row r="443" x14ac:dyDescent="0.35"/>
    <row r="444" x14ac:dyDescent="0.35"/>
    <row r="445" x14ac:dyDescent="0.35"/>
    <row r="446" x14ac:dyDescent="0.35"/>
    <row r="447" x14ac:dyDescent="0.35"/>
    <row r="448" x14ac:dyDescent="0.35"/>
    <row r="449" x14ac:dyDescent="0.35"/>
    <row r="450" x14ac:dyDescent="0.35"/>
    <row r="451" x14ac:dyDescent="0.35"/>
    <row r="452" x14ac:dyDescent="0.35"/>
    <row r="453" x14ac:dyDescent="0.35"/>
    <row r="454" x14ac:dyDescent="0.35"/>
    <row r="455" x14ac:dyDescent="0.35"/>
    <row r="456" x14ac:dyDescent="0.35"/>
    <row r="457" x14ac:dyDescent="0.35"/>
    <row r="458" x14ac:dyDescent="0.35"/>
    <row r="459" x14ac:dyDescent="0.35"/>
    <row r="460" x14ac:dyDescent="0.35"/>
    <row r="461" x14ac:dyDescent="0.35"/>
    <row r="462" x14ac:dyDescent="0.35"/>
    <row r="463" x14ac:dyDescent="0.35"/>
    <row r="464" x14ac:dyDescent="0.35"/>
    <row r="465" x14ac:dyDescent="0.35"/>
    <row r="466" x14ac:dyDescent="0.35"/>
    <row r="467" x14ac:dyDescent="0.35"/>
    <row r="468" x14ac:dyDescent="0.35"/>
    <row r="469" x14ac:dyDescent="0.35"/>
    <row r="470" x14ac:dyDescent="0.35"/>
    <row r="471" x14ac:dyDescent="0.35"/>
    <row r="472" x14ac:dyDescent="0.35"/>
    <row r="473" x14ac:dyDescent="0.35"/>
    <row r="474" x14ac:dyDescent="0.35"/>
    <row r="475" x14ac:dyDescent="0.35"/>
    <row r="476" x14ac:dyDescent="0.35"/>
    <row r="477" x14ac:dyDescent="0.35"/>
    <row r="478" x14ac:dyDescent="0.35"/>
    <row r="479" x14ac:dyDescent="0.35"/>
    <row r="480" x14ac:dyDescent="0.35"/>
    <row r="481" x14ac:dyDescent="0.35"/>
    <row r="482" x14ac:dyDescent="0.35"/>
    <row r="483" x14ac:dyDescent="0.35"/>
    <row r="484" x14ac:dyDescent="0.35"/>
    <row r="485" x14ac:dyDescent="0.35"/>
    <row r="486" x14ac:dyDescent="0.35"/>
    <row r="487" x14ac:dyDescent="0.35"/>
    <row r="488" x14ac:dyDescent="0.35"/>
    <row r="489" x14ac:dyDescent="0.35"/>
    <row r="490" x14ac:dyDescent="0.35"/>
    <row r="491" x14ac:dyDescent="0.35"/>
    <row r="492" x14ac:dyDescent="0.35"/>
    <row r="493" x14ac:dyDescent="0.35"/>
    <row r="494" x14ac:dyDescent="0.35"/>
    <row r="495" x14ac:dyDescent="0.35"/>
    <row r="496" x14ac:dyDescent="0.35"/>
    <row r="497" x14ac:dyDescent="0.35"/>
    <row r="498" x14ac:dyDescent="0.35"/>
    <row r="499" x14ac:dyDescent="0.35"/>
    <row r="500" x14ac:dyDescent="0.35"/>
    <row r="501" x14ac:dyDescent="0.35"/>
    <row r="502" x14ac:dyDescent="0.35"/>
    <row r="503" x14ac:dyDescent="0.35"/>
    <row r="504" x14ac:dyDescent="0.35"/>
    <row r="505" x14ac:dyDescent="0.35"/>
    <row r="506" x14ac:dyDescent="0.35"/>
    <row r="507" x14ac:dyDescent="0.35"/>
    <row r="508" x14ac:dyDescent="0.35"/>
    <row r="509" x14ac:dyDescent="0.35"/>
    <row r="510" x14ac:dyDescent="0.35"/>
    <row r="511" x14ac:dyDescent="0.35"/>
    <row r="512" x14ac:dyDescent="0.35"/>
    <row r="513" x14ac:dyDescent="0.35"/>
    <row r="514" x14ac:dyDescent="0.35"/>
    <row r="515" x14ac:dyDescent="0.35"/>
    <row r="516" x14ac:dyDescent="0.35"/>
    <row r="517" x14ac:dyDescent="0.35"/>
    <row r="518" x14ac:dyDescent="0.35"/>
    <row r="519" x14ac:dyDescent="0.35"/>
    <row r="520" x14ac:dyDescent="0.35"/>
    <row r="521" x14ac:dyDescent="0.35"/>
    <row r="522" x14ac:dyDescent="0.35"/>
    <row r="523" x14ac:dyDescent="0.35"/>
    <row r="524" x14ac:dyDescent="0.35"/>
    <row r="525" x14ac:dyDescent="0.35"/>
    <row r="526" x14ac:dyDescent="0.35"/>
    <row r="527" x14ac:dyDescent="0.35"/>
    <row r="528" x14ac:dyDescent="0.35"/>
    <row r="529" x14ac:dyDescent="0.35"/>
    <row r="530" x14ac:dyDescent="0.35"/>
    <row r="531" x14ac:dyDescent="0.35"/>
    <row r="532" x14ac:dyDescent="0.35"/>
    <row r="533" x14ac:dyDescent="0.35"/>
    <row r="534" x14ac:dyDescent="0.35"/>
    <row r="535" x14ac:dyDescent="0.35"/>
    <row r="536" x14ac:dyDescent="0.35"/>
    <row r="537" x14ac:dyDescent="0.35"/>
    <row r="538" x14ac:dyDescent="0.35"/>
    <row r="539" x14ac:dyDescent="0.35"/>
    <row r="540" x14ac:dyDescent="0.35"/>
    <row r="541" x14ac:dyDescent="0.35"/>
    <row r="542" x14ac:dyDescent="0.35"/>
    <row r="543" x14ac:dyDescent="0.35"/>
    <row r="544" x14ac:dyDescent="0.35"/>
    <row r="545" x14ac:dyDescent="0.35"/>
    <row r="546" x14ac:dyDescent="0.35"/>
    <row r="547" x14ac:dyDescent="0.35"/>
    <row r="548" x14ac:dyDescent="0.35"/>
    <row r="549" x14ac:dyDescent="0.35"/>
    <row r="550" x14ac:dyDescent="0.35"/>
    <row r="551" x14ac:dyDescent="0.35"/>
    <row r="552" x14ac:dyDescent="0.35"/>
    <row r="553" x14ac:dyDescent="0.35"/>
    <row r="554" x14ac:dyDescent="0.35"/>
    <row r="555" x14ac:dyDescent="0.35"/>
    <row r="556" x14ac:dyDescent="0.35"/>
    <row r="557" x14ac:dyDescent="0.35"/>
    <row r="558" x14ac:dyDescent="0.35"/>
    <row r="559" x14ac:dyDescent="0.35"/>
    <row r="560" x14ac:dyDescent="0.35"/>
    <row r="561" x14ac:dyDescent="0.35"/>
    <row r="562" x14ac:dyDescent="0.35"/>
    <row r="563" x14ac:dyDescent="0.35"/>
    <row r="564" x14ac:dyDescent="0.35"/>
    <row r="565" x14ac:dyDescent="0.35"/>
    <row r="566" x14ac:dyDescent="0.35"/>
    <row r="567" x14ac:dyDescent="0.35"/>
    <row r="568" x14ac:dyDescent="0.35"/>
    <row r="569" x14ac:dyDescent="0.35"/>
    <row r="570" x14ac:dyDescent="0.35"/>
    <row r="571" x14ac:dyDescent="0.35"/>
    <row r="572" x14ac:dyDescent="0.35"/>
    <row r="573" x14ac:dyDescent="0.35"/>
    <row r="574" x14ac:dyDescent="0.35"/>
    <row r="575" x14ac:dyDescent="0.35"/>
    <row r="576" x14ac:dyDescent="0.35"/>
    <row r="577" x14ac:dyDescent="0.35"/>
    <row r="578" x14ac:dyDescent="0.35"/>
    <row r="579" x14ac:dyDescent="0.35"/>
    <row r="580" x14ac:dyDescent="0.35"/>
    <row r="581" x14ac:dyDescent="0.35"/>
    <row r="582" x14ac:dyDescent="0.35"/>
    <row r="583" x14ac:dyDescent="0.35"/>
    <row r="584" x14ac:dyDescent="0.35"/>
    <row r="585" x14ac:dyDescent="0.35"/>
    <row r="586" x14ac:dyDescent="0.35"/>
    <row r="587" x14ac:dyDescent="0.35"/>
    <row r="588" x14ac:dyDescent="0.35"/>
    <row r="589" x14ac:dyDescent="0.35"/>
    <row r="590" x14ac:dyDescent="0.35"/>
    <row r="591" x14ac:dyDescent="0.35"/>
    <row r="592" x14ac:dyDescent="0.35"/>
    <row r="593" x14ac:dyDescent="0.35"/>
    <row r="594" x14ac:dyDescent="0.35"/>
    <row r="595" x14ac:dyDescent="0.35"/>
    <row r="596" x14ac:dyDescent="0.35"/>
    <row r="597" x14ac:dyDescent="0.35"/>
    <row r="598" x14ac:dyDescent="0.35"/>
    <row r="599" x14ac:dyDescent="0.35"/>
    <row r="600" x14ac:dyDescent="0.35"/>
    <row r="601" x14ac:dyDescent="0.35"/>
    <row r="602" x14ac:dyDescent="0.35"/>
    <row r="603" x14ac:dyDescent="0.35"/>
    <row r="604" x14ac:dyDescent="0.35"/>
    <row r="605" x14ac:dyDescent="0.35"/>
    <row r="606" x14ac:dyDescent="0.35"/>
    <row r="607" x14ac:dyDescent="0.35"/>
    <row r="608" x14ac:dyDescent="0.35"/>
    <row r="609" x14ac:dyDescent="0.35"/>
    <row r="610" x14ac:dyDescent="0.35"/>
    <row r="611" x14ac:dyDescent="0.35"/>
    <row r="612" x14ac:dyDescent="0.35"/>
    <row r="613" x14ac:dyDescent="0.35"/>
    <row r="614" x14ac:dyDescent="0.35"/>
    <row r="615" x14ac:dyDescent="0.35"/>
    <row r="616" x14ac:dyDescent="0.35"/>
    <row r="617" x14ac:dyDescent="0.35"/>
    <row r="618" x14ac:dyDescent="0.35"/>
    <row r="619" x14ac:dyDescent="0.35"/>
    <row r="620" x14ac:dyDescent="0.35"/>
    <row r="621" x14ac:dyDescent="0.35"/>
    <row r="622" x14ac:dyDescent="0.35"/>
    <row r="623" x14ac:dyDescent="0.35"/>
    <row r="624" x14ac:dyDescent="0.35"/>
    <row r="625" x14ac:dyDescent="0.35"/>
    <row r="626" x14ac:dyDescent="0.35"/>
    <row r="627" x14ac:dyDescent="0.35"/>
    <row r="628" x14ac:dyDescent="0.35"/>
    <row r="629" x14ac:dyDescent="0.35"/>
    <row r="630" x14ac:dyDescent="0.35"/>
    <row r="631" x14ac:dyDescent="0.35"/>
    <row r="632" x14ac:dyDescent="0.35"/>
    <row r="633" x14ac:dyDescent="0.35"/>
    <row r="634" x14ac:dyDescent="0.35"/>
    <row r="635" x14ac:dyDescent="0.35"/>
    <row r="636" x14ac:dyDescent="0.35"/>
    <row r="637" x14ac:dyDescent="0.35"/>
    <row r="638" x14ac:dyDescent="0.35"/>
    <row r="639" x14ac:dyDescent="0.35"/>
    <row r="640" x14ac:dyDescent="0.35"/>
    <row r="641" x14ac:dyDescent="0.35"/>
    <row r="642" x14ac:dyDescent="0.35"/>
    <row r="643" x14ac:dyDescent="0.35"/>
    <row r="644" x14ac:dyDescent="0.35"/>
    <row r="645" x14ac:dyDescent="0.35"/>
    <row r="646" x14ac:dyDescent="0.35"/>
    <row r="647" x14ac:dyDescent="0.35"/>
    <row r="648" x14ac:dyDescent="0.35"/>
    <row r="649" x14ac:dyDescent="0.35"/>
    <row r="650" x14ac:dyDescent="0.35"/>
    <row r="651" x14ac:dyDescent="0.35"/>
    <row r="652" x14ac:dyDescent="0.35"/>
    <row r="653" x14ac:dyDescent="0.35"/>
    <row r="654" x14ac:dyDescent="0.35"/>
    <row r="655" x14ac:dyDescent="0.35"/>
    <row r="656" x14ac:dyDescent="0.35"/>
    <row r="657" x14ac:dyDescent="0.35"/>
    <row r="658" x14ac:dyDescent="0.35"/>
    <row r="659" x14ac:dyDescent="0.35"/>
    <row r="660" x14ac:dyDescent="0.35"/>
    <row r="661" x14ac:dyDescent="0.35"/>
    <row r="662" x14ac:dyDescent="0.35"/>
    <row r="663" x14ac:dyDescent="0.35"/>
    <row r="664" x14ac:dyDescent="0.35"/>
    <row r="665" x14ac:dyDescent="0.35"/>
    <row r="666" x14ac:dyDescent="0.35"/>
    <row r="667" x14ac:dyDescent="0.35"/>
    <row r="668" x14ac:dyDescent="0.35"/>
    <row r="669" x14ac:dyDescent="0.35"/>
    <row r="670" x14ac:dyDescent="0.35"/>
    <row r="671" x14ac:dyDescent="0.35"/>
    <row r="672" x14ac:dyDescent="0.35"/>
    <row r="673" x14ac:dyDescent="0.35"/>
    <row r="674" x14ac:dyDescent="0.35"/>
    <row r="675" x14ac:dyDescent="0.35"/>
    <row r="676" x14ac:dyDescent="0.35"/>
    <row r="677" x14ac:dyDescent="0.35"/>
    <row r="678" x14ac:dyDescent="0.35"/>
    <row r="679" x14ac:dyDescent="0.35"/>
    <row r="680" x14ac:dyDescent="0.35"/>
    <row r="681" x14ac:dyDescent="0.35"/>
    <row r="682" x14ac:dyDescent="0.35"/>
    <row r="683" x14ac:dyDescent="0.35"/>
    <row r="684" x14ac:dyDescent="0.35"/>
    <row r="685" x14ac:dyDescent="0.35"/>
    <row r="686" x14ac:dyDescent="0.35"/>
    <row r="687" x14ac:dyDescent="0.35"/>
    <row r="688" x14ac:dyDescent="0.35"/>
    <row r="689" x14ac:dyDescent="0.35"/>
    <row r="690" x14ac:dyDescent="0.35"/>
    <row r="691" x14ac:dyDescent="0.35"/>
    <row r="692" x14ac:dyDescent="0.35"/>
    <row r="693" x14ac:dyDescent="0.35"/>
    <row r="694" x14ac:dyDescent="0.35"/>
    <row r="695" x14ac:dyDescent="0.35"/>
    <row r="696" x14ac:dyDescent="0.35"/>
    <row r="697" x14ac:dyDescent="0.35"/>
    <row r="698" x14ac:dyDescent="0.35"/>
    <row r="699" x14ac:dyDescent="0.35"/>
    <row r="700" x14ac:dyDescent="0.35"/>
    <row r="701" x14ac:dyDescent="0.35"/>
    <row r="702" x14ac:dyDescent="0.35"/>
    <row r="703" x14ac:dyDescent="0.35"/>
    <row r="704" x14ac:dyDescent="0.35"/>
    <row r="705" x14ac:dyDescent="0.35"/>
    <row r="706" x14ac:dyDescent="0.35"/>
    <row r="707" x14ac:dyDescent="0.35"/>
    <row r="708" x14ac:dyDescent="0.35"/>
    <row r="709" x14ac:dyDescent="0.35"/>
    <row r="710" x14ac:dyDescent="0.35"/>
    <row r="711" x14ac:dyDescent="0.35"/>
    <row r="712" x14ac:dyDescent="0.35"/>
    <row r="713" x14ac:dyDescent="0.35"/>
    <row r="714" x14ac:dyDescent="0.35"/>
    <row r="715" x14ac:dyDescent="0.35"/>
    <row r="716" x14ac:dyDescent="0.35"/>
    <row r="717" x14ac:dyDescent="0.35"/>
    <row r="718" x14ac:dyDescent="0.35"/>
    <row r="719" x14ac:dyDescent="0.35"/>
    <row r="720" x14ac:dyDescent="0.35"/>
    <row r="721" x14ac:dyDescent="0.35"/>
    <row r="722" x14ac:dyDescent="0.35"/>
    <row r="723" x14ac:dyDescent="0.35"/>
    <row r="724" x14ac:dyDescent="0.35"/>
    <row r="725" x14ac:dyDescent="0.35"/>
    <row r="726" x14ac:dyDescent="0.35"/>
    <row r="727" x14ac:dyDescent="0.35"/>
    <row r="728" x14ac:dyDescent="0.35"/>
    <row r="729" x14ac:dyDescent="0.35"/>
    <row r="730" x14ac:dyDescent="0.35"/>
    <row r="731" x14ac:dyDescent="0.35"/>
    <row r="732" x14ac:dyDescent="0.35"/>
    <row r="733" x14ac:dyDescent="0.35"/>
    <row r="734" x14ac:dyDescent="0.35"/>
    <row r="735" x14ac:dyDescent="0.35"/>
    <row r="736" x14ac:dyDescent="0.35"/>
    <row r="737" x14ac:dyDescent="0.35"/>
    <row r="738" x14ac:dyDescent="0.35"/>
    <row r="739" x14ac:dyDescent="0.35"/>
    <row r="740" x14ac:dyDescent="0.35"/>
    <row r="741" x14ac:dyDescent="0.35"/>
    <row r="742" x14ac:dyDescent="0.35"/>
    <row r="743" x14ac:dyDescent="0.35"/>
    <row r="744" x14ac:dyDescent="0.35"/>
    <row r="745" x14ac:dyDescent="0.35"/>
    <row r="746" x14ac:dyDescent="0.35"/>
    <row r="747" x14ac:dyDescent="0.35"/>
    <row r="748" x14ac:dyDescent="0.35"/>
    <row r="749" x14ac:dyDescent="0.35"/>
    <row r="750" x14ac:dyDescent="0.35"/>
    <row r="751" x14ac:dyDescent="0.35"/>
    <row r="752" x14ac:dyDescent="0.35"/>
    <row r="753" x14ac:dyDescent="0.35"/>
    <row r="754" x14ac:dyDescent="0.35"/>
    <row r="755" x14ac:dyDescent="0.35"/>
    <row r="756" x14ac:dyDescent="0.35"/>
    <row r="757" x14ac:dyDescent="0.35"/>
    <row r="758" x14ac:dyDescent="0.35"/>
    <row r="759" x14ac:dyDescent="0.35"/>
    <row r="760" x14ac:dyDescent="0.35"/>
    <row r="761" x14ac:dyDescent="0.35"/>
    <row r="762" x14ac:dyDescent="0.35"/>
    <row r="763" x14ac:dyDescent="0.35"/>
    <row r="764" x14ac:dyDescent="0.35"/>
    <row r="765" x14ac:dyDescent="0.35"/>
    <row r="766" x14ac:dyDescent="0.35"/>
    <row r="767" x14ac:dyDescent="0.35"/>
    <row r="768" x14ac:dyDescent="0.35"/>
    <row r="769" x14ac:dyDescent="0.35"/>
    <row r="770" x14ac:dyDescent="0.35"/>
    <row r="771" x14ac:dyDescent="0.35"/>
    <row r="772" x14ac:dyDescent="0.35"/>
    <row r="773" x14ac:dyDescent="0.35"/>
    <row r="774" x14ac:dyDescent="0.35"/>
    <row r="775" x14ac:dyDescent="0.35"/>
    <row r="776" x14ac:dyDescent="0.35"/>
    <row r="777" x14ac:dyDescent="0.35"/>
    <row r="778" x14ac:dyDescent="0.35"/>
    <row r="779" x14ac:dyDescent="0.35"/>
    <row r="780" x14ac:dyDescent="0.35"/>
    <row r="781" x14ac:dyDescent="0.35"/>
    <row r="782" x14ac:dyDescent="0.35"/>
    <row r="783" x14ac:dyDescent="0.35"/>
    <row r="784" x14ac:dyDescent="0.35"/>
    <row r="785" x14ac:dyDescent="0.35"/>
    <row r="786" x14ac:dyDescent="0.35"/>
    <row r="787" x14ac:dyDescent="0.35"/>
    <row r="788" x14ac:dyDescent="0.35"/>
    <row r="789" x14ac:dyDescent="0.35"/>
    <row r="790" x14ac:dyDescent="0.35"/>
    <row r="791" x14ac:dyDescent="0.35"/>
    <row r="792" x14ac:dyDescent="0.35"/>
    <row r="793" x14ac:dyDescent="0.35"/>
    <row r="794" x14ac:dyDescent="0.35"/>
    <row r="795" x14ac:dyDescent="0.35"/>
    <row r="796" x14ac:dyDescent="0.35"/>
    <row r="797" x14ac:dyDescent="0.35"/>
    <row r="798" x14ac:dyDescent="0.35"/>
    <row r="799" x14ac:dyDescent="0.35"/>
    <row r="800" x14ac:dyDescent="0.35"/>
    <row r="801" x14ac:dyDescent="0.35"/>
    <row r="802" x14ac:dyDescent="0.35"/>
    <row r="803" x14ac:dyDescent="0.35"/>
    <row r="804" x14ac:dyDescent="0.35"/>
    <row r="805" x14ac:dyDescent="0.35"/>
    <row r="806" x14ac:dyDescent="0.35"/>
    <row r="807" x14ac:dyDescent="0.35"/>
    <row r="808" x14ac:dyDescent="0.35"/>
    <row r="809" x14ac:dyDescent="0.35"/>
    <row r="810" x14ac:dyDescent="0.35"/>
    <row r="811" x14ac:dyDescent="0.35"/>
    <row r="812" x14ac:dyDescent="0.35"/>
    <row r="813" x14ac:dyDescent="0.35"/>
    <row r="814" x14ac:dyDescent="0.35"/>
    <row r="815" x14ac:dyDescent="0.35"/>
    <row r="816" x14ac:dyDescent="0.35"/>
    <row r="817" x14ac:dyDescent="0.35"/>
    <row r="818" x14ac:dyDescent="0.35"/>
    <row r="819" x14ac:dyDescent="0.35"/>
    <row r="820" x14ac:dyDescent="0.35"/>
    <row r="821" x14ac:dyDescent="0.35"/>
    <row r="822" x14ac:dyDescent="0.35"/>
    <row r="823" x14ac:dyDescent="0.35"/>
    <row r="824" x14ac:dyDescent="0.35"/>
    <row r="825" x14ac:dyDescent="0.35"/>
    <row r="826" x14ac:dyDescent="0.35"/>
    <row r="827" x14ac:dyDescent="0.35"/>
    <row r="828" x14ac:dyDescent="0.35"/>
    <row r="829" x14ac:dyDescent="0.35"/>
    <row r="830" x14ac:dyDescent="0.35"/>
    <row r="831" x14ac:dyDescent="0.35"/>
    <row r="832" x14ac:dyDescent="0.35"/>
    <row r="833" x14ac:dyDescent="0.35"/>
    <row r="834" x14ac:dyDescent="0.35"/>
    <row r="835" x14ac:dyDescent="0.35"/>
    <row r="836" x14ac:dyDescent="0.35"/>
    <row r="837" x14ac:dyDescent="0.35"/>
    <row r="838" x14ac:dyDescent="0.35"/>
    <row r="839" x14ac:dyDescent="0.35"/>
    <row r="840" x14ac:dyDescent="0.35"/>
    <row r="841" x14ac:dyDescent="0.35"/>
    <row r="842" x14ac:dyDescent="0.35"/>
    <row r="843" x14ac:dyDescent="0.35"/>
    <row r="844" x14ac:dyDescent="0.35"/>
    <row r="845" x14ac:dyDescent="0.35"/>
    <row r="846" x14ac:dyDescent="0.35"/>
    <row r="847" x14ac:dyDescent="0.35"/>
    <row r="848" x14ac:dyDescent="0.35"/>
    <row r="849" x14ac:dyDescent="0.35"/>
    <row r="850" x14ac:dyDescent="0.35"/>
    <row r="851" x14ac:dyDescent="0.35"/>
    <row r="852" x14ac:dyDescent="0.35"/>
    <row r="853" x14ac:dyDescent="0.35"/>
    <row r="854" x14ac:dyDescent="0.35"/>
    <row r="855" x14ac:dyDescent="0.35"/>
    <row r="856" x14ac:dyDescent="0.35"/>
    <row r="857" x14ac:dyDescent="0.35"/>
    <row r="858" x14ac:dyDescent="0.35"/>
    <row r="859" x14ac:dyDescent="0.35"/>
    <row r="860" x14ac:dyDescent="0.35"/>
    <row r="861" x14ac:dyDescent="0.35"/>
    <row r="862" x14ac:dyDescent="0.35"/>
    <row r="863" x14ac:dyDescent="0.35"/>
    <row r="864" x14ac:dyDescent="0.35"/>
    <row r="865" x14ac:dyDescent="0.35"/>
    <row r="866" x14ac:dyDescent="0.35"/>
    <row r="867" x14ac:dyDescent="0.35"/>
    <row r="868" x14ac:dyDescent="0.35"/>
    <row r="869" x14ac:dyDescent="0.35"/>
    <row r="870" x14ac:dyDescent="0.35"/>
    <row r="871" x14ac:dyDescent="0.35"/>
    <row r="872" x14ac:dyDescent="0.35"/>
    <row r="873" x14ac:dyDescent="0.35"/>
    <row r="874" x14ac:dyDescent="0.35"/>
    <row r="875" x14ac:dyDescent="0.35"/>
    <row r="876" x14ac:dyDescent="0.35"/>
    <row r="877" x14ac:dyDescent="0.35"/>
    <row r="878" x14ac:dyDescent="0.35"/>
    <row r="879" x14ac:dyDescent="0.35"/>
    <row r="880" x14ac:dyDescent="0.35"/>
    <row r="881" x14ac:dyDescent="0.35"/>
    <row r="882" x14ac:dyDescent="0.35"/>
    <row r="883" x14ac:dyDescent="0.35"/>
    <row r="884" x14ac:dyDescent="0.35"/>
    <row r="885" x14ac:dyDescent="0.35"/>
    <row r="886" x14ac:dyDescent="0.35"/>
    <row r="887" x14ac:dyDescent="0.35"/>
    <row r="888" x14ac:dyDescent="0.35"/>
    <row r="889" x14ac:dyDescent="0.35"/>
    <row r="890" x14ac:dyDescent="0.35"/>
    <row r="891" x14ac:dyDescent="0.35"/>
    <row r="892" x14ac:dyDescent="0.35"/>
    <row r="893" x14ac:dyDescent="0.35"/>
    <row r="894" x14ac:dyDescent="0.35"/>
    <row r="895" x14ac:dyDescent="0.35"/>
    <row r="896" x14ac:dyDescent="0.35"/>
    <row r="897" x14ac:dyDescent="0.35"/>
    <row r="898" x14ac:dyDescent="0.35"/>
    <row r="899" x14ac:dyDescent="0.35"/>
    <row r="900" x14ac:dyDescent="0.35"/>
    <row r="901" x14ac:dyDescent="0.35"/>
    <row r="902" x14ac:dyDescent="0.35"/>
    <row r="903" x14ac:dyDescent="0.35"/>
    <row r="904" x14ac:dyDescent="0.35"/>
    <row r="905" x14ac:dyDescent="0.35"/>
    <row r="906" x14ac:dyDescent="0.35"/>
    <row r="907" x14ac:dyDescent="0.35"/>
    <row r="908" x14ac:dyDescent="0.35"/>
    <row r="909" x14ac:dyDescent="0.35"/>
    <row r="910" x14ac:dyDescent="0.35"/>
    <row r="911" x14ac:dyDescent="0.35"/>
    <row r="912" x14ac:dyDescent="0.35"/>
    <row r="913" x14ac:dyDescent="0.35"/>
    <row r="914" x14ac:dyDescent="0.35"/>
    <row r="915" x14ac:dyDescent="0.35"/>
    <row r="916" x14ac:dyDescent="0.35"/>
    <row r="917" x14ac:dyDescent="0.35"/>
    <row r="918" x14ac:dyDescent="0.35"/>
    <row r="919" x14ac:dyDescent="0.35"/>
    <row r="920" x14ac:dyDescent="0.35"/>
    <row r="921" x14ac:dyDescent="0.35"/>
    <row r="922" x14ac:dyDescent="0.35"/>
    <row r="923" x14ac:dyDescent="0.35"/>
    <row r="924" x14ac:dyDescent="0.35"/>
    <row r="925" x14ac:dyDescent="0.35"/>
    <row r="926" x14ac:dyDescent="0.35"/>
    <row r="927" x14ac:dyDescent="0.35"/>
    <row r="928" x14ac:dyDescent="0.35"/>
    <row r="929" x14ac:dyDescent="0.35"/>
    <row r="930" x14ac:dyDescent="0.35"/>
    <row r="931" x14ac:dyDescent="0.35"/>
    <row r="932" x14ac:dyDescent="0.35"/>
    <row r="933" x14ac:dyDescent="0.35"/>
    <row r="934" x14ac:dyDescent="0.35"/>
    <row r="935" x14ac:dyDescent="0.35"/>
    <row r="936" x14ac:dyDescent="0.35"/>
    <row r="937" x14ac:dyDescent="0.35"/>
    <row r="938" x14ac:dyDescent="0.35"/>
    <row r="939" x14ac:dyDescent="0.35"/>
    <row r="940" x14ac:dyDescent="0.35"/>
    <row r="941" x14ac:dyDescent="0.35"/>
    <row r="942" x14ac:dyDescent="0.35"/>
    <row r="943" x14ac:dyDescent="0.35"/>
    <row r="944" x14ac:dyDescent="0.35"/>
    <row r="945" x14ac:dyDescent="0.35"/>
    <row r="946" x14ac:dyDescent="0.35"/>
    <row r="947" x14ac:dyDescent="0.35"/>
    <row r="948" x14ac:dyDescent="0.35"/>
    <row r="949" x14ac:dyDescent="0.35"/>
    <row r="950" x14ac:dyDescent="0.35"/>
    <row r="951" x14ac:dyDescent="0.35"/>
    <row r="952" x14ac:dyDescent="0.35"/>
    <row r="953" x14ac:dyDescent="0.35"/>
    <row r="954" x14ac:dyDescent="0.35"/>
    <row r="955" x14ac:dyDescent="0.35"/>
    <row r="956" x14ac:dyDescent="0.35"/>
    <row r="957" x14ac:dyDescent="0.35"/>
    <row r="958" x14ac:dyDescent="0.35"/>
    <row r="959" x14ac:dyDescent="0.35"/>
    <row r="960" x14ac:dyDescent="0.35"/>
    <row r="961" x14ac:dyDescent="0.35"/>
    <row r="962" x14ac:dyDescent="0.35"/>
    <row r="963" x14ac:dyDescent="0.35"/>
    <row r="964" x14ac:dyDescent="0.35"/>
    <row r="965" x14ac:dyDescent="0.35"/>
    <row r="966" x14ac:dyDescent="0.35"/>
    <row r="967" x14ac:dyDescent="0.35"/>
    <row r="968" x14ac:dyDescent="0.35"/>
    <row r="969" x14ac:dyDescent="0.35"/>
    <row r="970" x14ac:dyDescent="0.35"/>
    <row r="971" x14ac:dyDescent="0.35"/>
    <row r="972" x14ac:dyDescent="0.35"/>
    <row r="973" x14ac:dyDescent="0.35"/>
    <row r="974" x14ac:dyDescent="0.35"/>
    <row r="975" x14ac:dyDescent="0.35"/>
    <row r="976" x14ac:dyDescent="0.35"/>
    <row r="977" x14ac:dyDescent="0.35"/>
    <row r="978" x14ac:dyDescent="0.35"/>
    <row r="979" x14ac:dyDescent="0.35"/>
    <row r="980" x14ac:dyDescent="0.35"/>
    <row r="981" x14ac:dyDescent="0.35"/>
    <row r="982" x14ac:dyDescent="0.35"/>
    <row r="983" x14ac:dyDescent="0.35"/>
    <row r="984" x14ac:dyDescent="0.35"/>
    <row r="985" x14ac:dyDescent="0.35"/>
    <row r="986" x14ac:dyDescent="0.35"/>
    <row r="987" x14ac:dyDescent="0.35"/>
    <row r="988" x14ac:dyDescent="0.35"/>
    <row r="989" x14ac:dyDescent="0.35"/>
    <row r="990" x14ac:dyDescent="0.35"/>
    <row r="991" x14ac:dyDescent="0.35"/>
    <row r="992" x14ac:dyDescent="0.35"/>
    <row r="993" x14ac:dyDescent="0.35"/>
    <row r="994" x14ac:dyDescent="0.35"/>
    <row r="995" x14ac:dyDescent="0.35"/>
    <row r="996" x14ac:dyDescent="0.35"/>
    <row r="997" x14ac:dyDescent="0.35"/>
    <row r="998" x14ac:dyDescent="0.35"/>
    <row r="999" x14ac:dyDescent="0.35"/>
    <row r="1000"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Factura de Proveedor </vt:lpstr>
      <vt:lpstr>Pago Proveedor</vt:lpstr>
      <vt:lpstr>Asiento</vt:lpstr>
      <vt:lpstr>Factura de Cliente</vt:lpstr>
      <vt:lpstr>Nota de credito Cliente</vt:lpstr>
      <vt:lpstr>Pago de factura de cliente</vt:lpstr>
      <vt:lpstr>DATA MAESTRA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Alberto Pardo Porras</cp:lastModifiedBy>
  <dcterms:modified xsi:type="dcterms:W3CDTF">2026-10-14T14:27:14Z</dcterms:modified>
</cp:coreProperties>
</file>